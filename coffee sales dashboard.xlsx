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01 RE LEARNING\excel\mochen coffee dashboard\final project\"/>
    </mc:Choice>
  </mc:AlternateContent>
  <xr:revisionPtr revIDLastSave="0" documentId="8_{21CF80DC-810B-4FEA-BCF7-B6B7EAEC44BF}" xr6:coauthVersionLast="47" xr6:coauthVersionMax="47" xr10:uidLastSave="{00000000-0000-0000-0000-000000000000}"/>
  <bookViews>
    <workbookView xWindow="-108" yWindow="-108" windowWidth="23256" windowHeight="12720" firstSheet="2" activeTab="6" xr2:uid="{00000000-000D-0000-FFFF-FFFF00000000}"/>
  </bookViews>
  <sheets>
    <sheet name="orders" sheetId="17" r:id="rId1"/>
    <sheet name="customers" sheetId="13" r:id="rId2"/>
    <sheet name="products" sheetId="2" r:id="rId3"/>
    <sheet name="TotalSales" sheetId="18" r:id="rId4"/>
    <sheet name="CountryBarChart" sheetId="19" r:id="rId5"/>
    <sheet name="Top5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10" i="17"/>
  <c r="G10" i="17"/>
  <c r="H10" i="17"/>
  <c r="I10" i="17"/>
  <c r="J10" i="17"/>
  <c r="K10" i="17"/>
  <c r="L10" i="17"/>
  <c r="M10" i="17"/>
  <c r="N10" i="17"/>
  <c r="O10" i="17"/>
  <c r="O88" i="17"/>
  <c r="O100" i="17"/>
  <c r="O374" i="17"/>
  <c r="O442" i="17"/>
  <c r="O445" i="17"/>
  <c r="O446" i="17"/>
  <c r="O481" i="17"/>
  <c r="O688" i="17"/>
  <c r="O700" i="17"/>
  <c r="O958" i="17"/>
  <c r="N3" i="17"/>
  <c r="N100" i="17"/>
  <c r="N121" i="17"/>
  <c r="N122" i="17"/>
  <c r="N151" i="17"/>
  <c r="N152" i="17"/>
  <c r="N391" i="17"/>
  <c r="N395" i="17"/>
  <c r="N415" i="17"/>
  <c r="N418" i="17"/>
  <c r="N421" i="17"/>
  <c r="N433" i="17"/>
  <c r="N559" i="17"/>
  <c r="N568" i="17"/>
  <c r="N571" i="17"/>
  <c r="N572" i="17"/>
  <c r="N586" i="17"/>
  <c r="N592" i="17"/>
  <c r="N718" i="17"/>
  <c r="N727" i="17"/>
  <c r="N730" i="17"/>
  <c r="N734" i="17"/>
  <c r="N736" i="17"/>
  <c r="N764" i="17"/>
  <c r="N794" i="17"/>
  <c r="N871" i="17"/>
  <c r="N874" i="17"/>
  <c r="N892" i="17"/>
  <c r="N895" i="17"/>
  <c r="N955" i="17"/>
  <c r="N956" i="17"/>
  <c r="M54" i="17"/>
  <c r="M63" i="17"/>
  <c r="M114" i="17"/>
  <c r="M132" i="17"/>
  <c r="M135" i="17"/>
  <c r="M144" i="17"/>
  <c r="M192" i="17"/>
  <c r="M288" i="17"/>
  <c r="M336" i="17"/>
  <c r="M342" i="17"/>
  <c r="M351" i="17"/>
  <c r="M354" i="17"/>
  <c r="M402" i="17"/>
  <c r="M420" i="17"/>
  <c r="M543" i="17"/>
  <c r="M546" i="17"/>
  <c r="M564" i="17"/>
  <c r="M567" i="17"/>
  <c r="M576" i="17"/>
  <c r="M615" i="17"/>
  <c r="M623" i="17"/>
  <c r="M711" i="17"/>
  <c r="M720" i="17"/>
  <c r="M759" i="17"/>
  <c r="M780" i="17"/>
  <c r="M783" i="17"/>
  <c r="M795" i="17"/>
  <c r="M912" i="17"/>
  <c r="M924" i="17"/>
  <c r="M927" i="17"/>
  <c r="M939" i="17"/>
  <c r="M975" i="17"/>
  <c r="M983" i="17"/>
  <c r="M984" i="17"/>
  <c r="I3" i="17"/>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J100" i="17"/>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J121" i="17"/>
  <c r="O121" i="17" s="1"/>
  <c r="K121" i="17"/>
  <c r="L121" i="17"/>
  <c r="M121" i="17" s="1"/>
  <c r="I122" i="17"/>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J151" i="17"/>
  <c r="O151" i="17" s="1"/>
  <c r="K151" i="17"/>
  <c r="L151" i="17"/>
  <c r="M151" i="17" s="1"/>
  <c r="I152" i="17"/>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J415" i="17"/>
  <c r="O415" i="17" s="1"/>
  <c r="K415" i="17"/>
  <c r="L415" i="17"/>
  <c r="M415" i="17" s="1"/>
  <c r="I416" i="17"/>
  <c r="N416" i="17" s="1"/>
  <c r="J416" i="17"/>
  <c r="O416" i="17" s="1"/>
  <c r="K416" i="17"/>
  <c r="L416" i="17"/>
  <c r="M416" i="17" s="1"/>
  <c r="I417" i="17"/>
  <c r="N417" i="17" s="1"/>
  <c r="J417" i="17"/>
  <c r="O417" i="17" s="1"/>
  <c r="K417" i="17"/>
  <c r="L417" i="17"/>
  <c r="M417" i="17" s="1"/>
  <c r="I418" i="17"/>
  <c r="J418" i="17"/>
  <c r="O418" i="17" s="1"/>
  <c r="K418" i="17"/>
  <c r="L418" i="17"/>
  <c r="M418" i="17" s="1"/>
  <c r="I419" i="17"/>
  <c r="N419" i="17" s="1"/>
  <c r="J419" i="17"/>
  <c r="O419" i="17" s="1"/>
  <c r="K419" i="17"/>
  <c r="L419" i="17"/>
  <c r="M419" i="17" s="1"/>
  <c r="I420" i="17"/>
  <c r="N420" i="17" s="1"/>
  <c r="J420" i="17"/>
  <c r="O420" i="17" s="1"/>
  <c r="K420" i="17"/>
  <c r="L420" i="17"/>
  <c r="I421" i="17"/>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K442" i="17"/>
  <c r="L442" i="17"/>
  <c r="M442" i="17" s="1"/>
  <c r="I443" i="17"/>
  <c r="N443" i="17" s="1"/>
  <c r="J443" i="17"/>
  <c r="O443" i="17" s="1"/>
  <c r="K443" i="17"/>
  <c r="L443" i="17"/>
  <c r="M443" i="17" s="1"/>
  <c r="I444" i="17"/>
  <c r="N444" i="17" s="1"/>
  <c r="J444" i="17"/>
  <c r="O444" i="17" s="1"/>
  <c r="K444" i="17"/>
  <c r="L444" i="17"/>
  <c r="M444" i="17" s="1"/>
  <c r="I445" i="17"/>
  <c r="N445" i="17" s="1"/>
  <c r="J445" i="17"/>
  <c r="K445" i="17"/>
  <c r="L445" i="17"/>
  <c r="M445" i="17" s="1"/>
  <c r="I446" i="17"/>
  <c r="N446" i="17" s="1"/>
  <c r="J446" i="17"/>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M545" i="17" s="1"/>
  <c r="I546" i="17"/>
  <c r="N546" i="17" s="1"/>
  <c r="J546" i="17"/>
  <c r="O546" i="17" s="1"/>
  <c r="K546" i="17"/>
  <c r="L546" i="17"/>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J568" i="17"/>
  <c r="O568" i="17" s="1"/>
  <c r="K568" i="17"/>
  <c r="L568" i="17"/>
  <c r="M568" i="17" s="1"/>
  <c r="I569" i="17"/>
  <c r="N569" i="17" s="1"/>
  <c r="J569" i="17"/>
  <c r="O569" i="17" s="1"/>
  <c r="K569" i="17"/>
  <c r="L569" i="17"/>
  <c r="M569" i="17" s="1"/>
  <c r="I570" i="17"/>
  <c r="N570" i="17" s="1"/>
  <c r="J570" i="17"/>
  <c r="O570" i="17" s="1"/>
  <c r="K570" i="17"/>
  <c r="L570" i="17"/>
  <c r="M570" i="17" s="1"/>
  <c r="I571" i="17"/>
  <c r="J571" i="17"/>
  <c r="O571" i="17" s="1"/>
  <c r="K571" i="17"/>
  <c r="L571" i="17"/>
  <c r="M571" i="17" s="1"/>
  <c r="I572" i="17"/>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J718" i="17"/>
  <c r="O718" i="17" s="1"/>
  <c r="K718" i="17"/>
  <c r="L718" i="17"/>
  <c r="M718" i="17" s="1"/>
  <c r="I719" i="17"/>
  <c r="N719" i="17" s="1"/>
  <c r="J719" i="17"/>
  <c r="O719" i="17" s="1"/>
  <c r="K719" i="17"/>
  <c r="L719" i="17"/>
  <c r="M719" i="17" s="1"/>
  <c r="I720" i="17"/>
  <c r="N720" i="17" s="1"/>
  <c r="J720" i="17"/>
  <c r="O720" i="17" s="1"/>
  <c r="K720" i="17"/>
  <c r="L720" i="17"/>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J727" i="17"/>
  <c r="O727" i="17" s="1"/>
  <c r="K727" i="17"/>
  <c r="L727" i="17"/>
  <c r="M727" i="17" s="1"/>
  <c r="I728" i="17"/>
  <c r="N728" i="17" s="1"/>
  <c r="J728" i="17"/>
  <c r="O728" i="17" s="1"/>
  <c r="K728" i="17"/>
  <c r="L728" i="17"/>
  <c r="M728" i="17" s="1"/>
  <c r="I729" i="17"/>
  <c r="N729" i="17" s="1"/>
  <c r="J729" i="17"/>
  <c r="O729" i="17" s="1"/>
  <c r="K729" i="17"/>
  <c r="L729" i="17"/>
  <c r="M729" i="17" s="1"/>
  <c r="I730" i="17"/>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J734" i="17"/>
  <c r="O734" i="17" s="1"/>
  <c r="K734" i="17"/>
  <c r="L734" i="17"/>
  <c r="M734" i="17" s="1"/>
  <c r="I735" i="17"/>
  <c r="N735" i="17" s="1"/>
  <c r="J735" i="17"/>
  <c r="O735" i="17" s="1"/>
  <c r="K735" i="17"/>
  <c r="L735" i="17"/>
  <c r="M735" i="17" s="1"/>
  <c r="I736" i="17"/>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J871" i="17"/>
  <c r="O871" i="17" s="1"/>
  <c r="K871" i="17"/>
  <c r="L871" i="17"/>
  <c r="M871" i="17" s="1"/>
  <c r="I872" i="17"/>
  <c r="N872" i="17" s="1"/>
  <c r="J872" i="17"/>
  <c r="O872" i="17" s="1"/>
  <c r="K872" i="17"/>
  <c r="L872" i="17"/>
  <c r="M872" i="17" s="1"/>
  <c r="I873" i="17"/>
  <c r="N873" i="17" s="1"/>
  <c r="J873" i="17"/>
  <c r="O873" i="17" s="1"/>
  <c r="K873" i="17"/>
  <c r="L873" i="17"/>
  <c r="M873" i="17" s="1"/>
  <c r="I874" i="17"/>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J892" i="17"/>
  <c r="O892" i="17" s="1"/>
  <c r="K892" i="17"/>
  <c r="L892" i="17"/>
  <c r="M892" i="17" s="1"/>
  <c r="I893" i="17"/>
  <c r="N893" i="17" s="1"/>
  <c r="J893" i="17"/>
  <c r="O893" i="17" s="1"/>
  <c r="K893" i="17"/>
  <c r="L893" i="17"/>
  <c r="M893" i="17" s="1"/>
  <c r="I894" i="17"/>
  <c r="N894" i="17" s="1"/>
  <c r="J894" i="17"/>
  <c r="O894" i="17" s="1"/>
  <c r="K894" i="17"/>
  <c r="L894" i="17"/>
  <c r="M894" i="17" s="1"/>
  <c r="I895" i="17"/>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J955" i="17"/>
  <c r="O955" i="17" s="1"/>
  <c r="K955" i="17"/>
  <c r="L955" i="17"/>
  <c r="M955" i="17" s="1"/>
  <c r="I956" i="17"/>
  <c r="J956" i="17"/>
  <c r="O956" i="17" s="1"/>
  <c r="K956" i="17"/>
  <c r="L956" i="17"/>
  <c r="M956" i="17" s="1"/>
  <c r="I957" i="17"/>
  <c r="N957" i="17" s="1"/>
  <c r="J957" i="17"/>
  <c r="O957" i="17" s="1"/>
  <c r="K957" i="17"/>
  <c r="L957" i="17"/>
  <c r="M957" i="17" s="1"/>
  <c r="I958" i="17"/>
  <c r="N958" i="17" s="1"/>
  <c r="J958" i="17"/>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I984" i="17"/>
  <c r="N984" i="17" s="1"/>
  <c r="J984" i="17"/>
  <c r="O984" i="17" s="1"/>
  <c r="K984" i="17"/>
  <c r="L984" i="17"/>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F3" i="17"/>
  <c r="F4" i="17"/>
  <c r="F5" i="17"/>
  <c r="F6" i="17"/>
  <c r="F7" i="17"/>
  <c r="F8" i="17"/>
  <c r="F9"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3" i="17"/>
  <c r="H4" i="17"/>
  <c r="H5" i="17"/>
  <c r="H6" i="17"/>
  <c r="H7" i="17"/>
  <c r="H8" i="17"/>
  <c r="H9"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<sst xmlns="http://schemas.openxmlformats.org/spreadsheetml/2006/main" count="11132" uniqueCount="6223">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</sst>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quot;$&quot;#,##0.00"/>
    <numFmt numFmtId="169"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69" fontId="0" fillId="0" borderId="0" xfId="0" applyNumberFormat="1"/>
  </cellXfs>
  <cellStyles count="1">
    <cellStyle name="Normal" xfId="0" builtinId="0"/>
  </cellStyles>
  <dxfs count="16">
    <dxf>
      <font>
        <b/>
        <i val="0"/>
        <sz val="11"/>
        <color theme="0"/>
        <name val="Calibri"/>
        <family val="2"/>
        <scheme val="minor"/>
      </font>
    </dxf>
    <dxf>
      <font>
        <b val="0"/>
        <i val="0"/>
        <sz val="11"/>
        <name val="Calibri"/>
        <family val="2"/>
        <scheme val="minor"/>
      </font>
      <fill>
        <patternFill patternType="solid">
          <fgColor theme="0"/>
          <bgColor rgb="FF7030A0"/>
        </patternFill>
      </fill>
      <border diagonalUp="0" diagonalDown="0">
        <left style="thin">
          <color rgb="FF800080"/>
        </left>
        <right style="thin">
          <color rgb="FF800080"/>
        </right>
        <top style="thin">
          <color rgb="FF800080"/>
        </top>
        <bottom style="thin">
          <color rgb="FF800080"/>
        </bottom>
        <vertical/>
        <horizontal/>
      </border>
    </dxf>
    <dxf>
      <font>
        <b/>
        <i val="0"/>
        <sz val="11"/>
        <color theme="0"/>
      </font>
      <border>
        <bottom style="thin">
          <color theme="0" tint="-0.34998626667073579"/>
        </bottom>
        <vertical/>
        <horizontal/>
      </border>
    </dxf>
    <dxf>
      <font>
        <color theme="0"/>
      </font>
      <fill>
        <patternFill>
          <bgColor rgb="FF7030A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00"/>
    </dxf>
    <dxf>
      <numFmt numFmtId="168" formatCode="&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line Style" pivot="0" table="0" count="9" xr9:uid="{0CD16C66-99D0-4241-8AA5-FD7C84FEA856}">
      <tableStyleElement type="wholeTable" dxfId="1"/>
      <tableStyleElement type="headerRow" dxfId="0"/>
    </tableStyle>
    <tableStyle name="SlicerStyleOther1 2" pivot="0" table="0" count="10" xr9:uid="{6BBD559A-3FCD-4954-B0F5-CC3018DCFAA2}">
      <tableStyleElement type="wholeTable" dxfId="3"/>
      <tableStyleElement type="headerRow" dxfId="2"/>
    </tableStyle>
  </tableStyles>
  <colors>
    <mruColors>
      <color rgb="FF800080"/>
      <color rgb="FFFDCBF6"/>
      <color rgb="FFCC00CC"/>
      <color rgb="FFFF00FF"/>
      <color rgb="FF990099"/>
    </mruColors>
  </colors>
  <extLst>
    <ext xmlns:x14="http://schemas.microsoft.com/office/spreadsheetml/2009/9/main" uri="{46F421CA-312F-682f-3DD2-61675219B42D}">
      <x14:dxfs count="8">
        <dxf>
          <font>
            <color rgb="FF000000"/>
          </font>
          <fill>
            <patternFill patternType="solid">
              <fgColor auto="1"/>
              <bgColor rgb="FFCC00C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CC00CC"/>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CC00CC"/>
            </patternFill>
          </fill>
          <border>
            <left style="thin">
              <color rgb="FF999999"/>
            </left>
            <right style="thin">
              <color rgb="FF999999"/>
            </right>
            <top style="thin">
              <color rgb="FF999999"/>
            </top>
            <bottom style="thin">
              <color rgb="FF999999"/>
            </bottom>
            <vertical/>
            <horizontal/>
          </border>
        </dxf>
        <dxf>
          <font>
            <b val="0"/>
            <i val="0"/>
            <sz val="9"/>
            <color theme="0"/>
            <name val="Calibri"/>
            <family val="2"/>
            <scheme val="minor"/>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dxf>
          <font>
            <b/>
            <i val="0"/>
            <sz val="9"/>
            <color theme="0"/>
            <name val="Calibri"/>
            <family val="2"/>
            <scheme val="minor"/>
          </font>
          <fill>
            <patternFill patternType="solid">
              <fgColor indexed="64"/>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z val="9"/>
            <color theme="0"/>
            <name val="Calibri"/>
            <family val="2"/>
            <scheme val="minor"/>
          </font>
          <fill>
            <patternFill patternType="solid">
              <fgColor theme="0"/>
              <bgColor rgb="FF7030A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indexed="64"/>
              <bgColor theme="0"/>
            </patternFill>
          </fill>
        </dxf>
        <dxf>
          <fill>
            <patternFill patternType="solid">
              <fgColor theme="0"/>
              <bgColor rgb="FF00B050"/>
            </patternFill>
          </fill>
          <border diagonalUp="0" diagonalDown="0">
            <left style="thin">
              <color auto="1"/>
            </left>
            <right style="thin">
              <color auto="1"/>
            </right>
            <top style="thin">
              <color auto="1"/>
            </top>
            <bottom style="thin">
              <color auto="1"/>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8"/>
  </c:pivotSource>
  <c:chart>
    <c:title>
      <c:tx>
        <c:rich>
          <a:bodyPr rot="0" spcFirstLastPara="1" vertOverflow="ellipsis" vert="horz" wrap="square" anchor="ctr" anchorCtr="1"/>
          <a:lstStyle/>
          <a:p>
            <a:pPr>
              <a:defRPr sz="1400" b="0" i="0" u="none" strike="noStrike" kern="1200" spc="0" baseline="0">
                <a:solidFill>
                  <a:srgbClr val="80008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0008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8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9B2-4C72-8074-79B03E012B9D}"/>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9B2-4C72-8074-79B03E012B9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9B2-4C72-8074-79B03E012B9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9B2-4C72-8074-79B03E012B9D}"/>
            </c:ext>
          </c:extLst>
        </c:ser>
        <c:dLbls>
          <c:showLegendKey val="0"/>
          <c:showVal val="0"/>
          <c:showCatName val="0"/>
          <c:showSerName val="0"/>
          <c:showPercent val="0"/>
          <c:showBubbleSize val="0"/>
        </c:dLbls>
        <c:smooth val="0"/>
        <c:axId val="556628960"/>
        <c:axId val="556628480"/>
      </c:lineChart>
      <c:catAx>
        <c:axId val="5566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crossAx val="556628480"/>
        <c:crosses val="autoZero"/>
        <c:auto val="1"/>
        <c:lblAlgn val="ctr"/>
        <c:lblOffset val="100"/>
        <c:noMultiLvlLbl val="0"/>
      </c:catAx>
      <c:valAx>
        <c:axId val="556628480"/>
        <c:scaling>
          <c:orientation val="minMax"/>
        </c:scaling>
        <c:delete val="0"/>
        <c:axPos val="l"/>
        <c:majorGridlines>
          <c:spPr>
            <a:ln w="19050"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80008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0008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crossAx val="5566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0008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CBF6"/>
    </a:solidFill>
    <a:ln w="76200" cap="flat" cmpd="sng" algn="ctr">
      <a:solidFill>
        <a:schemeClr val="bg1"/>
      </a:solidFill>
      <a:round/>
    </a:ln>
    <a:effectLst/>
  </c:spPr>
  <c:txPr>
    <a:bodyPr/>
    <a:lstStyle/>
    <a:p>
      <a:pPr>
        <a:defRPr>
          <a:solidFill>
            <a:srgbClr val="80008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bg1"/>
            </a:solidFill>
          </a:ln>
          <a:effectLst/>
        </c:spPr>
      </c:pivotFmt>
      <c:pivotFmt>
        <c:idx val="2"/>
        <c:spPr>
          <a:solidFill>
            <a:schemeClr val="accent6">
              <a:lumMod val="75000"/>
            </a:schemeClr>
          </a:solidFill>
          <a:ln w="19050">
            <a:solidFill>
              <a:schemeClr val="bg1"/>
            </a:solidFill>
          </a:ln>
          <a:effectLst/>
        </c:spPr>
      </c:pivotFmt>
      <c:pivotFmt>
        <c:idx val="3"/>
        <c:spPr>
          <a:solidFill>
            <a:schemeClr val="accent6">
              <a:lumMod val="60000"/>
              <a:lumOff val="40000"/>
            </a:schemeClr>
          </a:solidFill>
          <a:ln w="1905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bg1"/>
            </a:solidFill>
          </a:ln>
          <a:effectLst/>
        </c:spPr>
      </c:pivotFmt>
      <c:pivotFmt>
        <c:idx val="6"/>
        <c:spPr>
          <a:solidFill>
            <a:schemeClr val="accent6">
              <a:lumMod val="75000"/>
            </a:schemeClr>
          </a:solidFill>
          <a:ln w="19050">
            <a:solidFill>
              <a:schemeClr val="bg1"/>
            </a:solidFill>
          </a:ln>
          <a:effectLst/>
        </c:spPr>
      </c:pivotFmt>
      <c:pivotFmt>
        <c:idx val="7"/>
        <c:spPr>
          <a:solidFill>
            <a:schemeClr val="accent6">
              <a:lumMod val="50000"/>
            </a:schemeClr>
          </a:solidFill>
          <a:ln w="19050">
            <a:solidFill>
              <a:schemeClr val="bg1"/>
            </a:solidFill>
          </a:ln>
          <a:effectLst/>
        </c:spPr>
      </c:pivotFmt>
      <c:pivotFmt>
        <c:idx val="8"/>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bg1"/>
            </a:solidFill>
          </a:ln>
          <a:effectLst/>
        </c:spPr>
      </c:pivotFmt>
      <c:pivotFmt>
        <c:idx val="10"/>
        <c:spPr>
          <a:solidFill>
            <a:schemeClr val="accent6">
              <a:lumMod val="75000"/>
            </a:schemeClr>
          </a:solidFill>
          <a:ln w="19050">
            <a:solidFill>
              <a:schemeClr val="bg1"/>
            </a:solidFill>
          </a:ln>
          <a:effectLst/>
        </c:spPr>
      </c:pivotFmt>
      <c:pivotFmt>
        <c:idx val="11"/>
        <c:spPr>
          <a:solidFill>
            <a:schemeClr val="accent6">
              <a:lumMod val="50000"/>
            </a:schemeClr>
          </a:solidFill>
          <a:ln w="190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9050">
              <a:solidFill>
                <a:schemeClr val="bg1"/>
              </a:solidFill>
            </a:ln>
            <a:effectLst/>
          </c:spPr>
          <c:invertIfNegative val="0"/>
          <c:dPt>
            <c:idx val="0"/>
            <c:invertIfNegative val="0"/>
            <c:bubble3D val="0"/>
            <c:spPr>
              <a:solidFill>
                <a:schemeClr val="accent6">
                  <a:lumMod val="60000"/>
                  <a:lumOff val="40000"/>
                </a:schemeClr>
              </a:solidFill>
              <a:ln w="19050">
                <a:solidFill>
                  <a:schemeClr val="bg1"/>
                </a:solidFill>
              </a:ln>
              <a:effectLst/>
            </c:spPr>
            <c:extLst>
              <c:ext xmlns:c16="http://schemas.microsoft.com/office/drawing/2014/chart" uri="{C3380CC4-5D6E-409C-BE32-E72D297353CC}">
                <c16:uniqueId val="{00000001-624E-40FD-80B2-D171459CD64B}"/>
              </c:ext>
            </c:extLst>
          </c:dPt>
          <c:dPt>
            <c:idx val="1"/>
            <c:invertIfNegative val="0"/>
            <c:bubble3D val="0"/>
            <c:spPr>
              <a:solidFill>
                <a:schemeClr val="accent6">
                  <a:lumMod val="75000"/>
                </a:schemeClr>
              </a:solidFill>
              <a:ln w="19050">
                <a:solidFill>
                  <a:schemeClr val="bg1"/>
                </a:solidFill>
              </a:ln>
              <a:effectLst/>
            </c:spPr>
            <c:extLst>
              <c:ext xmlns:c16="http://schemas.microsoft.com/office/drawing/2014/chart" uri="{C3380CC4-5D6E-409C-BE32-E72D297353CC}">
                <c16:uniqueId val="{00000003-624E-40FD-80B2-D171459CD64B}"/>
              </c:ext>
            </c:extLst>
          </c:dPt>
          <c:dPt>
            <c:idx val="2"/>
            <c:invertIfNegative val="0"/>
            <c:bubble3D val="0"/>
            <c:spPr>
              <a:solidFill>
                <a:schemeClr val="accent6">
                  <a:lumMod val="50000"/>
                </a:schemeClr>
              </a:solidFill>
              <a:ln w="19050">
                <a:solidFill>
                  <a:schemeClr val="bg1"/>
                </a:solidFill>
              </a:ln>
              <a:effectLst/>
            </c:spPr>
            <c:extLst>
              <c:ext xmlns:c16="http://schemas.microsoft.com/office/drawing/2014/chart" uri="{C3380CC4-5D6E-409C-BE32-E72D297353CC}">
                <c16:uniqueId val="{00000005-624E-40FD-80B2-D171459CD6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24E-40FD-80B2-D171459CD64B}"/>
            </c:ext>
          </c:extLst>
        </c:ser>
        <c:dLbls>
          <c:dLblPos val="outEnd"/>
          <c:showLegendKey val="0"/>
          <c:showVal val="1"/>
          <c:showCatName val="0"/>
          <c:showSerName val="0"/>
          <c:showPercent val="0"/>
          <c:showBubbleSize val="0"/>
        </c:dLbls>
        <c:gapWidth val="182"/>
        <c:axId val="257597184"/>
        <c:axId val="257595744"/>
      </c:barChart>
      <c:catAx>
        <c:axId val="25759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95744"/>
        <c:crosses val="autoZero"/>
        <c:auto val="1"/>
        <c:lblAlgn val="ctr"/>
        <c:lblOffset val="100"/>
        <c:noMultiLvlLbl val="0"/>
      </c:catAx>
      <c:valAx>
        <c:axId val="257595744"/>
        <c:scaling>
          <c:orientation val="minMax"/>
        </c:scaling>
        <c:delete val="0"/>
        <c:axPos val="b"/>
        <c:majorGridlines>
          <c:spPr>
            <a:ln w="0"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CBF6"/>
    </a:solidFill>
    <a:ln w="762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20000"/>
              <a:lumOff val="80000"/>
            </a:schemeClr>
          </a:solidFill>
          <a:ln>
            <a:noFill/>
          </a:ln>
          <a:effectLst/>
        </c:spPr>
      </c:pivotFmt>
      <c:pivotFmt>
        <c:idx val="14"/>
        <c:spPr>
          <a:solidFill>
            <a:schemeClr val="accent2">
              <a:lumMod val="40000"/>
              <a:lumOff val="60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5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A96E-49DD-8EE3-60191DE0A998}"/>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A96E-49DD-8EE3-60191DE0A998}"/>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A96E-49DD-8EE3-60191DE0A99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A96E-49DD-8EE3-60191DE0A998}"/>
              </c:ext>
            </c:extLst>
          </c:dPt>
          <c:dPt>
            <c:idx val="4"/>
            <c:invertIfNegative val="0"/>
            <c:bubble3D val="0"/>
            <c:spPr>
              <a:solidFill>
                <a:schemeClr val="accent2">
                  <a:lumMod val="50000"/>
                </a:schemeClr>
              </a:solidFill>
              <a:ln>
                <a:noFill/>
              </a:ln>
              <a:effectLst/>
            </c:spPr>
            <c:extLst>
              <c:ext xmlns:c16="http://schemas.microsoft.com/office/drawing/2014/chart" uri="{C3380CC4-5D6E-409C-BE32-E72D297353CC}">
                <c16:uniqueId val="{00000009-A96E-49DD-8EE3-60191DE0A9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A96E-49DD-8EE3-60191DE0A998}"/>
            </c:ext>
          </c:extLst>
        </c:ser>
        <c:dLbls>
          <c:dLblPos val="outEnd"/>
          <c:showLegendKey val="0"/>
          <c:showVal val="1"/>
          <c:showCatName val="0"/>
          <c:showSerName val="0"/>
          <c:showPercent val="0"/>
          <c:showBubbleSize val="0"/>
        </c:dLbls>
        <c:gapWidth val="182"/>
        <c:axId val="725628256"/>
        <c:axId val="725629216"/>
      </c:barChart>
      <c:catAx>
        <c:axId val="72562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29216"/>
        <c:crosses val="autoZero"/>
        <c:auto val="1"/>
        <c:lblAlgn val="ctr"/>
        <c:lblOffset val="100"/>
        <c:noMultiLvlLbl val="0"/>
      </c:catAx>
      <c:valAx>
        <c:axId val="725629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2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CBF6"/>
    </a:solidFill>
    <a:ln w="762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15240</xdr:rowOff>
    </xdr:from>
    <xdr:to>
      <xdr:col>23</xdr:col>
      <xdr:colOff>7620</xdr:colOff>
      <xdr:row>4</xdr:row>
      <xdr:rowOff>15240</xdr:rowOff>
    </xdr:to>
    <xdr:sp macro="" textlink="">
      <xdr:nvSpPr>
        <xdr:cNvPr id="2" name="Rectangle 1">
          <a:extLst>
            <a:ext uri="{FF2B5EF4-FFF2-40B4-BE49-F238E27FC236}">
              <a16:creationId xmlns:a16="http://schemas.microsoft.com/office/drawing/2014/main" id="{0EE5ABA9-290C-518B-465F-54174B689C2E}"/>
            </a:ext>
          </a:extLst>
        </xdr:cNvPr>
        <xdr:cNvSpPr/>
      </xdr:nvSpPr>
      <xdr:spPr>
        <a:xfrm>
          <a:off x="137160" y="76200"/>
          <a:ext cx="13403580" cy="54864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rPr>
            <a:t>          COFFEE</a:t>
          </a:r>
          <a:r>
            <a:rPr lang="en-US" sz="3600" baseline="0">
              <a:solidFill>
                <a:schemeClr val="bg1"/>
              </a:solidFill>
            </a:rPr>
            <a:t> SALES DASHBOARD 	</a:t>
          </a:r>
          <a:r>
            <a:rPr lang="en-US" sz="1100" baseline="0">
              <a:solidFill>
                <a:schemeClr val="bg1"/>
              </a:solidFill>
            </a:rPr>
            <a:t> 	</a:t>
          </a:r>
          <a:endParaRPr lang="en-US" sz="1100">
            <a:solidFill>
              <a:schemeClr val="bg1"/>
            </a:solidFill>
          </a:endParaRPr>
        </a:p>
      </xdr:txBody>
    </xdr:sp>
    <xdr:clientData/>
  </xdr:twoCellAnchor>
  <xdr:twoCellAnchor editAs="oneCell">
    <xdr:from>
      <xdr:col>1</xdr:col>
      <xdr:colOff>0</xdr:colOff>
      <xdr:row>5</xdr:row>
      <xdr:rowOff>0</xdr:rowOff>
    </xdr:from>
    <xdr:to>
      <xdr:col>16</xdr:col>
      <xdr:colOff>579120</xdr:colOff>
      <xdr:row>14</xdr:row>
      <xdr:rowOff>91440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1C9669B0-3238-4362-BFEB-73B761A4928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3825" y="781050"/>
              <a:ext cx="9723120" cy="17202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7620</xdr:colOff>
      <xdr:row>14</xdr:row>
      <xdr:rowOff>167638</xdr:rowOff>
    </xdr:from>
    <xdr:to>
      <xdr:col>12</xdr:col>
      <xdr:colOff>0</xdr:colOff>
      <xdr:row>35</xdr:row>
      <xdr:rowOff>182879</xdr:rowOff>
    </xdr:to>
    <xdr:graphicFrame macro="">
      <xdr:nvGraphicFramePr>
        <xdr:cNvPr id="4" name="Chart 3">
          <a:extLst>
            <a:ext uri="{FF2B5EF4-FFF2-40B4-BE49-F238E27FC236}">
              <a16:creationId xmlns:a16="http://schemas.microsoft.com/office/drawing/2014/main" id="{864A60E3-E39B-4723-8CA8-E80592CE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9</xdr:row>
      <xdr:rowOff>0</xdr:rowOff>
    </xdr:from>
    <xdr:to>
      <xdr:col>23</xdr:col>
      <xdr:colOff>0</xdr:colOff>
      <xdr:row>14</xdr:row>
      <xdr:rowOff>91440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8010C609-AD6E-4D9D-9750-5ED292A3742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706225" y="1504950"/>
              <a:ext cx="1828800" cy="996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0</xdr:rowOff>
    </xdr:from>
    <xdr:to>
      <xdr:col>23</xdr:col>
      <xdr:colOff>0</xdr:colOff>
      <xdr:row>8</xdr:row>
      <xdr:rowOff>167640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0802954A-FFEB-486E-A37D-3845B9774FF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877425" y="781050"/>
              <a:ext cx="3657600" cy="710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9</xdr:row>
      <xdr:rowOff>0</xdr:rowOff>
    </xdr:from>
    <xdr:to>
      <xdr:col>19</xdr:col>
      <xdr:colOff>586740</xdr:colOff>
      <xdr:row>14</xdr:row>
      <xdr:rowOff>91440</xdr:rowOff>
    </xdr:to>
    <mc:AlternateContent xmlns:mc="http://schemas.openxmlformats.org/markup-compatibility/2006">
      <mc:Choice xmlns:a14="http://schemas.microsoft.com/office/drawing/2010/main" Requires="a14">
        <xdr:graphicFrame macro="">
          <xdr:nvGraphicFramePr>
            <xdr:cNvPr id="7" name="Loyalty">
              <a:extLst>
                <a:ext uri="{FF2B5EF4-FFF2-40B4-BE49-F238E27FC236}">
                  <a16:creationId xmlns:a16="http://schemas.microsoft.com/office/drawing/2014/main" id="{A7B5C288-377B-4BD2-B300-A106A41EFEE7}"/>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dr:sp macro="" textlink="">
          <xdr:nvSpPr>
            <xdr:cNvPr id="0" name=""/>
            <xdr:cNvSpPr>
              <a:spLocks noTextEdit="1"/>
            </xdr:cNvSpPr>
          </xdr:nvSpPr>
          <xdr:spPr>
            <a:xfrm>
              <a:off x="9877425" y="1504950"/>
              <a:ext cx="1805940" cy="996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594360</xdr:colOff>
      <xdr:row>15</xdr:row>
      <xdr:rowOff>0</xdr:rowOff>
    </xdr:from>
    <xdr:to>
      <xdr:col>23</xdr:col>
      <xdr:colOff>0</xdr:colOff>
      <xdr:row>25</xdr:row>
      <xdr:rowOff>0</xdr:rowOff>
    </xdr:to>
    <xdr:graphicFrame macro="">
      <xdr:nvGraphicFramePr>
        <xdr:cNvPr id="8" name="Chart 7">
          <a:extLst>
            <a:ext uri="{FF2B5EF4-FFF2-40B4-BE49-F238E27FC236}">
              <a16:creationId xmlns:a16="http://schemas.microsoft.com/office/drawing/2014/main" id="{3B6BDA6F-CCFD-4358-9923-D2B04265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25</xdr:row>
      <xdr:rowOff>0</xdr:rowOff>
    </xdr:from>
    <xdr:to>
      <xdr:col>23</xdr:col>
      <xdr:colOff>0</xdr:colOff>
      <xdr:row>36</xdr:row>
      <xdr:rowOff>0</xdr:rowOff>
    </xdr:to>
    <xdr:graphicFrame macro="">
      <xdr:nvGraphicFramePr>
        <xdr:cNvPr id="9" name="Chart 8">
          <a:extLst>
            <a:ext uri="{FF2B5EF4-FFF2-40B4-BE49-F238E27FC236}">
              <a16:creationId xmlns:a16="http://schemas.microsoft.com/office/drawing/2014/main" id="{BCD7308E-AD5D-42BE-90B4-BFD444BE2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du" refreshedDate="46019.735515277775" createdVersion="8" refreshedVersion="8" minRefreshableVersion="3" recordCount="1000" xr:uid="{E9D7B57B-2A32-4354-BF71-129C25DF3D1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15226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AFE861-930C-4EFA-96EC-8B2F96489823}"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3"/>
  </dataFields>
  <chartFormats count="1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4" format="5"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2"/>
          </reference>
        </references>
      </pivotArea>
    </chartFormat>
    <chartFormat chart="8"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4D26B-3DD8-4D1F-81C4-59EE131387D3}"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9"/>
  </dataFields>
  <chartFormats count="9">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D0493-948B-4E0C-B7AB-DB37B3569467}"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1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28"/>
          </reference>
        </references>
      </pivotArea>
    </chartFormat>
    <chartFormat chart="17" format="2">
      <pivotArea type="data" outline="0" fieldPosition="0">
        <references count="2">
          <reference field="4294967294" count="1" selected="0">
            <x v="0"/>
          </reference>
          <reference field="5" count="1" selected="0">
            <x v="125"/>
          </reference>
        </references>
      </pivotArea>
    </chartFormat>
    <chartFormat chart="17" format="3">
      <pivotArea type="data" outline="0" fieldPosition="0">
        <references count="2">
          <reference field="4294967294" count="1" selected="0">
            <x v="0"/>
          </reference>
          <reference field="5" count="1" selected="0">
            <x v="831"/>
          </reference>
        </references>
      </pivotArea>
    </chartFormat>
    <chartFormat chart="17" format="4">
      <pivotArea type="data" outline="0" fieldPosition="0">
        <references count="2">
          <reference field="4294967294" count="1" selected="0">
            <x v="0"/>
          </reference>
          <reference field="5" count="1" selected="0">
            <x v="646"/>
          </reference>
        </references>
      </pivotArea>
    </chartFormat>
    <chartFormat chart="17" format="5">
      <pivotArea type="data" outline="0" fieldPosition="0">
        <references count="2">
          <reference field="4294967294" count="1" selected="0">
            <x v="0"/>
          </reference>
          <reference field="5" count="1" selected="0">
            <x v="255"/>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5" count="1" selected="0">
            <x v="255"/>
          </reference>
        </references>
      </pivotArea>
    </chartFormat>
    <chartFormat chart="21" format="8">
      <pivotArea type="data" outline="0" fieldPosition="0">
        <references count="2">
          <reference field="4294967294" count="1" selected="0">
            <x v="0"/>
          </reference>
          <reference field="5" count="1" selected="0">
            <x v="646"/>
          </reference>
        </references>
      </pivotArea>
    </chartFormat>
    <chartFormat chart="21" format="9">
      <pivotArea type="data" outline="0" fieldPosition="0">
        <references count="2">
          <reference field="4294967294" count="1" selected="0">
            <x v="0"/>
          </reference>
          <reference field="5" count="1" selected="0">
            <x v="831"/>
          </reference>
        </references>
      </pivotArea>
    </chartFormat>
    <chartFormat chart="21" format="10">
      <pivotArea type="data" outline="0" fieldPosition="0">
        <references count="2">
          <reference field="4294967294" count="1" selected="0">
            <x v="0"/>
          </reference>
          <reference field="5" count="1" selected="0">
            <x v="125"/>
          </reference>
        </references>
      </pivotArea>
    </chartFormat>
    <chartFormat chart="21" format="11">
      <pivotArea type="data" outline="0" fieldPosition="0">
        <references count="2">
          <reference field="4294967294" count="1" selected="0">
            <x v="0"/>
          </reference>
          <reference field="5" count="1" selected="0">
            <x v="28"/>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5" count="1" selected="0">
            <x v="255"/>
          </reference>
        </references>
      </pivotArea>
    </chartFormat>
    <chartFormat chart="22" format="14">
      <pivotArea type="data" outline="0" fieldPosition="0">
        <references count="2">
          <reference field="4294967294" count="1" selected="0">
            <x v="0"/>
          </reference>
          <reference field="5" count="1" selected="0">
            <x v="646"/>
          </reference>
        </references>
      </pivotArea>
    </chartFormat>
    <chartFormat chart="22" format="15">
      <pivotArea type="data" outline="0" fieldPosition="0">
        <references count="2">
          <reference field="4294967294" count="1" selected="0">
            <x v="0"/>
          </reference>
          <reference field="5" count="1" selected="0">
            <x v="831"/>
          </reference>
        </references>
      </pivotArea>
    </chartFormat>
    <chartFormat chart="22" format="16">
      <pivotArea type="data" outline="0" fieldPosition="0">
        <references count="2">
          <reference field="4294967294" count="1" selected="0">
            <x v="0"/>
          </reference>
          <reference field="5" count="1" selected="0">
            <x v="125"/>
          </reference>
        </references>
      </pivotArea>
    </chartFormat>
    <chartFormat chart="22"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5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431E100-D076-4387-AB57-3BD2FB9BE466}" sourceName="Size">
  <pivotTables>
    <pivotTable tabId="18" name="TotalSales"/>
  </pivotTables>
  <data>
    <tabular pivotCacheId="18152266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C27BCEE-1ECF-4433-8D9A-E8D3A9DA97CD}" sourceName="Roast Type Name">
  <pivotTables>
    <pivotTable tabId="18" name="TotalSales"/>
  </pivotTables>
  <data>
    <tabular pivotCacheId="18152266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6CBE4245-C78C-45E2-9F0E-9CB5226FD157}" sourceName="Loyalty">
  <pivotTables>
    <pivotTable tabId="18" name="TotalSales"/>
  </pivotTables>
  <data>
    <tabular pivotCacheId="18152266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8329472-BE47-4D95-B25B-292B35569186}" cache="Slicer_Size" caption="Size" columnCount="2" style="SlicerStyleOther1 2" rowHeight="234950"/>
  <slicer name="Roast Type Name" xr10:uid="{BED27C1F-C620-4AD1-AACE-5423717A108F}" cache="Slicer_Roast_Type_Name" caption="Roast Type Name" columnCount="3" style="SlicerStyleOther1 2" rowHeight="234950"/>
  <slicer name="Loyalty" xr10:uid="{934F7290-A950-44F4-8B0B-0FB425101117}" cache="Slicer_Loyalty" caption="Loyalty"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3130C9-A5B3-437A-8661-58D14A902E3A}" name="Orders" displayName="Orders" ref="A1:P1001" totalsRowShown="0" headerRowDxfId="5">
  <autoFilter ref="A1:P1001" xr:uid="{1B3130C9-A5B3-437A-8661-58D14A902E3A}"/>
  <tableColumns count="16">
    <tableColumn id="1" xr3:uid="{17F8853E-9AB3-4719-9799-1E6A7AECF363}" name="Order ID" dataDxfId="15"/>
    <tableColumn id="2" xr3:uid="{1CE58569-2DB1-4C0A-9996-29073C0A7F36}" name="Order Date" dataDxfId="14"/>
    <tableColumn id="3" xr3:uid="{E6AFECB8-F815-47CB-98C2-E926D034E287}" name="Customer ID" dataDxfId="13"/>
    <tableColumn id="4" xr3:uid="{2F356892-1A4B-492B-8F55-CD5F4330C19F}" name="Product ID"/>
    <tableColumn id="5" xr3:uid="{FC9776CC-151A-4003-9D99-36AAF2EB0266}" name="Quantity" dataDxfId="12"/>
    <tableColumn id="6" xr3:uid="{59580BC8-0538-458B-805F-E9BD2AB5DC1E}" name="Customer Name" dataDxfId="11">
      <calculatedColumnFormula>_xlfn.XLOOKUP(orders!C2,customers!$A$2:$A$1001,customers!$B$2:$B$1001,,0)</calculatedColumnFormula>
    </tableColumn>
    <tableColumn id="7" xr3:uid="{3803D00D-0CFC-4F06-9CFE-CF09E123AA20}" name="Email" dataDxfId="10">
      <calculatedColumnFormula>IF(_xlfn.XLOOKUP(C2,customers!$A$1:$A$1001,customers!$C$1:$C$1001,,0)=0,"",_xlfn.XLOOKUP(C2,customers!$A$1:$A$1001,customers!$C$1:$C$1001,,0))</calculatedColumnFormula>
    </tableColumn>
    <tableColumn id="8" xr3:uid="{6459532B-BC3E-4441-B61E-D75CE5F1F385}" name="Country" dataDxfId="9">
      <calculatedColumnFormula>_xlfn.XLOOKUP(C2,customers!$A$1:$A$1001,customers!$G$1:$G$1001,,0)</calculatedColumnFormula>
    </tableColumn>
    <tableColumn id="9" xr3:uid="{CEB1B093-BABE-4C81-879B-E824E0938EC9}" name="Coffee Type">
      <calculatedColumnFormula>INDEX(products!$A$1:$G$49,MATCH(orders!$D2,products!$A$1:$A$49,0),MATCH(orders!I$1,products!$A$1:$G$1,0))</calculatedColumnFormula>
    </tableColumn>
    <tableColumn id="10" xr3:uid="{187DA3FC-27AC-46E0-A675-DB0BCE1DCE56}" name="Roast Type">
      <calculatedColumnFormula>INDEX(products!$A$1:$G$49,MATCH(orders!$D2,products!$A$1:$A$49,0),MATCH(orders!J$1,products!$A$1:$G$1,0))</calculatedColumnFormula>
    </tableColumn>
    <tableColumn id="11" xr3:uid="{FDD4EDC4-5EF7-4E67-BE74-4FEE3D362C69}" name="Size" dataDxfId="8">
      <calculatedColumnFormula>INDEX(products!$A$1:$G$49,MATCH(orders!$D2,products!$A$1:$A$49,0),MATCH(orders!K$1,products!$A$1:$G$1,0))</calculatedColumnFormula>
    </tableColumn>
    <tableColumn id="12" xr3:uid="{A2A33F94-1E83-466C-8242-B6B60E0C637C}" name="Unit Price" dataDxfId="7">
      <calculatedColumnFormula>INDEX(products!$A$1:$G$49,MATCH(orders!$D2,products!$A$1:$A$49,0),MATCH(orders!L$1,products!$A$1:$G$1,0))</calculatedColumnFormula>
    </tableColumn>
    <tableColumn id="13" xr3:uid="{70760B33-BB03-4372-83A5-0F0A597C5FD1}" name="Sales" dataDxfId="6">
      <calculatedColumnFormula>L2*E2</calculatedColumnFormula>
    </tableColumn>
    <tableColumn id="14" xr3:uid="{9E5A213F-AEE0-403A-8A07-4664D96E7640}" name="Coffee type Name">
      <calculatedColumnFormula>IF(I2="Rob","Robusta",IF(I2="Exc","Excelsa",IF(I2="Ara","Arabica",IF(I2="Lib","Liberica"))))</calculatedColumnFormula>
    </tableColumn>
    <tableColumn id="15" xr3:uid="{03805231-3069-49C6-9211-8AE9799A4E8A}" name="Roast Type Name">
      <calculatedColumnFormula>IF(J2="M","Medium",IF(J2="L","Light",IF(J2="D","Dark")))</calculatedColumnFormula>
    </tableColumn>
    <tableColumn id="16" xr3:uid="{8C07790D-A270-490D-8CAF-3306B06014DF}" name="Loyalty" dataDxfId="4">
      <calculatedColumnFormula>_xlfn.XLOOKUP(Orders[[#This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588E899-122F-43A0-A54A-B863759B207F}" sourceName="Order Date">
  <pivotTables>
    <pivotTable tabId="18" name="TotalSales"/>
    <pivotTable tabId="19" name="TotalSales"/>
    <pivotTable tabId="20" name="TotalSales"/>
  </pivotTables>
  <state minimalRefreshVersion="6" lastRefreshVersion="6" pivotCacheId="18152266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FA9A41C-A213-49C4-8433-D7542907D4C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90" zoomScaleNormal="90" workbookViewId="0">
      <selection activeCell="P3" sqref="P3"/>
    </sheetView>
  </sheetViews>
  <sheetFormatPr defaultRowHeight="14.4" x14ac:dyDescent="0.3"/>
  <cols>
    <col min="1" max="1" width="16.5546875" bestFit="1" customWidth="1"/>
    <col min="2" max="2" width="13.4414062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7" bestFit="1" customWidth="1"/>
    <col min="12" max="12" width="10.77734375" customWidth="1"/>
    <col min="13" max="13" width="9" customWidth="1"/>
    <col min="14" max="14" width="17.886718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6222</v>
      </c>
    </row>
    <row r="2" spans="1:16" x14ac:dyDescent="0.3">
      <c r="A2" s="2" t="s">
        <v>490</v>
      </c>
      <c r="B2" s="3">
        <v>43713</v>
      </c>
      <c r="C2" s="2" t="s">
        <v>491</v>
      </c>
      <c r="D2" t="s">
        <v>6138</v>
      </c>
      <c r="E2" s="2">
        <v>2</v>
      </c>
      <c r="F2" s="2" t="str">
        <f>_xlfn.XLOOKUP(orders!C2,customers!$A$2:$A$1001,customers!$B$2:$B$1001,,0)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_xlfn.XLOOKUP(orders!C3,customers!$A$2:$A$1001,customers!$B$2:$B$1001,,0)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_xlfn.XLOOKUP(orders!C4,customers!$A$2:$A$1001,customers!$B$2:$B$1001,,0)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_xlfn.XLOOKUP(orders!C5,customers!$A$2:$A$1001,customers!$B$2:$B$1001,,0)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_xlfn.XLOOKUP(orders!C6,customers!$A$2:$A$1001,customers!$B$2:$B$1001,,0)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_xlfn.XLOOKUP(orders!C7,customers!$A$2:$A$1001,customers!$B$2:$B$1001,,0)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_xlfn.XLOOKUP(orders!C8,customers!$A$2:$A$1001,customers!$B$2:$B$1001,,0)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_xlfn.XLOOKUP(orders!C9,customers!$A$2:$A$1001,customers!$B$2:$B$1001,,0)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_xlfn.XLOOKUP(orders!C10,customers!$A$2:$A$1001,customers!$B$2:$B$1001,,0)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_xlfn.XLOOKUP(orders!C11,customers!$A$2:$A$1001,customers!$B$2:$B$1001,,0)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_xlfn.XLOOKUP(orders!C12,customers!$A$2:$A$1001,customers!$B$2:$B$1001,,0)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_xlfn.XLOOKUP(orders!C13,customers!$A$2:$A$1001,customers!$B$2:$B$1001,,0)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_xlfn.XLOOKUP(orders!C14,customers!$A$2:$A$1001,customers!$B$2:$B$1001,,0)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_xlfn.XLOOKUP(orders!C15,customers!$A$2:$A$1001,customers!$B$2:$B$1001,,0)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_xlfn.XLOOKUP(orders!C16,customers!$A$2:$A$1001,customers!$B$2:$B$1001,,0)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_xlfn.XLOOKUP(orders!C17,customers!$A$2:$A$1001,customers!$B$2:$B$1001,,0)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_xlfn.XLOOKUP(orders!C18,customers!$A$2:$A$1001,customers!$B$2:$B$1001,,0)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_xlfn.XLOOKUP(orders!C19,customers!$A$2:$A$1001,customers!$B$2:$B$1001,,0)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_xlfn.XLOOKUP(orders!C20,customers!$A$2:$A$1001,customers!$B$2:$B$1001,,0)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_xlfn.XLOOKUP(orders!C21,customers!$A$2:$A$1001,customers!$B$2:$B$1001,,0)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_xlfn.XLOOKUP(orders!C22,customers!$A$2:$A$1001,customers!$B$2:$B$1001,,0)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_xlfn.XLOOKUP(orders!C23,customers!$A$2:$A$1001,customers!$B$2:$B$1001,,0)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_xlfn.XLOOKUP(orders!C24,customers!$A$2:$A$1001,customers!$B$2:$B$1001,,0)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_xlfn.XLOOKUP(orders!C25,customers!$A$2:$A$1001,customers!$B$2:$B$1001,,0)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_xlfn.XLOOKUP(orders!C26,customers!$A$2:$A$1001,customers!$B$2:$B$1001,,0)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_xlfn.XLOOKUP(orders!C27,customers!$A$2:$A$1001,customers!$B$2:$B$1001,,0)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_xlfn.XLOOKUP(orders!C28,customers!$A$2:$A$1001,customers!$B$2:$B$1001,,0)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_xlfn.XLOOKUP(orders!C29,customers!$A$2:$A$1001,customers!$B$2:$B$1001,,0)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_xlfn.XLOOKUP(orders!C30,customers!$A$2:$A$1001,customers!$B$2:$B$1001,,0)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_xlfn.XLOOKUP(orders!C31,customers!$A$2:$A$1001,customers!$B$2:$B$1001,,0)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_xlfn.XLOOKUP(orders!C32,customers!$A$2:$A$1001,customers!$B$2:$B$1001,,0)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_xlfn.XLOOKUP(orders!C33,customers!$A$2:$A$1001,customers!$B$2:$B$1001,,0)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_xlfn.XLOOKUP(orders!C34,customers!$A$2:$A$1001,customers!$B$2:$B$1001,,0)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_xlfn.XLOOKUP(orders!C35,customers!$A$2:$A$1001,customers!$B$2:$B$1001,,0)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_xlfn.XLOOKUP(orders!C36,customers!$A$2:$A$1001,customers!$B$2:$B$1001,,0)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_xlfn.XLOOKUP(orders!C37,customers!$A$2:$A$1001,customers!$B$2:$B$1001,,0)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_xlfn.XLOOKUP(orders!C38,customers!$A$2:$A$1001,customers!$B$2:$B$1001,,0)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_xlfn.XLOOKUP(orders!C39,customers!$A$2:$A$1001,customers!$B$2:$B$1001,,0)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_xlfn.XLOOKUP(orders!C40,customers!$A$2:$A$1001,customers!$B$2:$B$1001,,0)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_xlfn.XLOOKUP(orders!C41,customers!$A$2:$A$1001,customers!$B$2:$B$1001,,0)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_xlfn.XLOOKUP(orders!C42,customers!$A$2:$A$1001,customers!$B$2:$B$1001,,0)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_xlfn.XLOOKUP(orders!C43,customers!$A$2:$A$1001,customers!$B$2:$B$1001,,0)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_xlfn.XLOOKUP(orders!C44,customers!$A$2:$A$1001,customers!$B$2:$B$1001,,0)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_xlfn.XLOOKUP(orders!C45,customers!$A$2:$A$1001,customers!$B$2:$B$1001,,0)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_xlfn.XLOOKUP(orders!C46,customers!$A$2:$A$1001,customers!$B$2:$B$1001,,0)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_xlfn.XLOOKUP(orders!C47,customers!$A$2:$A$1001,customers!$B$2:$B$1001,,0)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_xlfn.XLOOKUP(orders!C48,customers!$A$2:$A$1001,customers!$B$2:$B$1001,,0)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_xlfn.XLOOKUP(orders!C49,customers!$A$2:$A$1001,customers!$B$2:$B$1001,,0)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_xlfn.XLOOKUP(orders!C50,customers!$A$2:$A$1001,customers!$B$2:$B$1001,,0)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_xlfn.XLOOKUP(orders!C51,customers!$A$2:$A$1001,customers!$B$2:$B$1001,,0)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_xlfn.XLOOKUP(orders!C52,customers!$A$2:$A$1001,customers!$B$2:$B$1001,,0)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_xlfn.XLOOKUP(orders!C53,customers!$A$2:$A$1001,customers!$B$2:$B$1001,,0)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_xlfn.XLOOKUP(orders!C54,customers!$A$2:$A$1001,customers!$B$2:$B$1001,,0)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_xlfn.XLOOKUP(orders!C55,customers!$A$2:$A$1001,customers!$B$2:$B$1001,,0)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_xlfn.XLOOKUP(orders!C56,customers!$A$2:$A$1001,customers!$B$2:$B$1001,,0)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_xlfn.XLOOKUP(orders!C57,customers!$A$2:$A$1001,customers!$B$2:$B$1001,,0)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_xlfn.XLOOKUP(orders!C58,customers!$A$2:$A$1001,customers!$B$2:$B$1001,,0)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_xlfn.XLOOKUP(orders!C59,customers!$A$2:$A$1001,customers!$B$2:$B$1001,,0)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_xlfn.XLOOKUP(orders!C60,customers!$A$2:$A$1001,customers!$B$2:$B$1001,,0)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_xlfn.XLOOKUP(orders!C61,customers!$A$2:$A$1001,customers!$B$2:$B$1001,,0)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_xlfn.XLOOKUP(orders!C62,customers!$A$2:$A$1001,customers!$B$2:$B$1001,,0)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_xlfn.XLOOKUP(orders!C63,customers!$A$2:$A$1001,customers!$B$2:$B$1001,,0)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_xlfn.XLOOKUP(orders!C64,customers!$A$2:$A$1001,customers!$B$2:$B$1001,,0)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_xlfn.XLOOKUP(orders!C65,customers!$A$2:$A$1001,customers!$B$2:$B$1001,,0)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_xlfn.XLOOKUP(orders!C66,customers!$A$2:$A$1001,customers!$B$2:$B$1001,,0)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_xlfn.XLOOKUP(orders!C67,customers!$A$2:$A$1001,customers!$B$2:$B$1001,,0)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_xlfn.XLOOKUP(orders!C68,customers!$A$2:$A$1001,customers!$B$2:$B$1001,,0)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_xlfn.XLOOKUP(orders!C69,customers!$A$2:$A$1001,customers!$B$2:$B$1001,,0)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_xlfn.XLOOKUP(orders!C70,customers!$A$2:$A$1001,customers!$B$2:$B$1001,,0)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_xlfn.XLOOKUP(orders!C71,customers!$A$2:$A$1001,customers!$B$2:$B$1001,,0)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_xlfn.XLOOKUP(orders!C72,customers!$A$2:$A$1001,customers!$B$2:$B$1001,,0)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_xlfn.XLOOKUP(orders!C73,customers!$A$2:$A$1001,customers!$B$2:$B$1001,,0)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_xlfn.XLOOKUP(orders!C74,customers!$A$2:$A$1001,customers!$B$2:$B$1001,,0)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_xlfn.XLOOKUP(orders!C75,customers!$A$2:$A$1001,customers!$B$2:$B$1001,,0)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_xlfn.XLOOKUP(orders!C76,customers!$A$2:$A$1001,customers!$B$2:$B$1001,,0)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_xlfn.XLOOKUP(orders!C77,customers!$A$2:$A$1001,customers!$B$2:$B$1001,,0)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_xlfn.XLOOKUP(orders!C78,customers!$A$2:$A$1001,customers!$B$2:$B$1001,,0)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_xlfn.XLOOKUP(orders!C79,customers!$A$2:$A$1001,customers!$B$2:$B$1001,,0)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_xlfn.XLOOKUP(orders!C80,customers!$A$2:$A$1001,customers!$B$2:$B$1001,,0)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_xlfn.XLOOKUP(orders!C81,customers!$A$2:$A$1001,customers!$B$2:$B$1001,,0)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_xlfn.XLOOKUP(orders!C82,customers!$A$2:$A$1001,customers!$B$2:$B$1001,,0)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_xlfn.XLOOKUP(orders!C83,customers!$A$2:$A$1001,customers!$B$2:$B$1001,,0)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_xlfn.XLOOKUP(orders!C84,customers!$A$2:$A$1001,customers!$B$2:$B$1001,,0)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_xlfn.XLOOKUP(orders!C85,customers!$A$2:$A$1001,customers!$B$2:$B$1001,,0)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_xlfn.XLOOKUP(orders!C86,customers!$A$2:$A$1001,customers!$B$2:$B$1001,,0)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_xlfn.XLOOKUP(orders!C87,customers!$A$2:$A$1001,customers!$B$2:$B$1001,,0)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_xlfn.XLOOKUP(orders!C88,customers!$A$2:$A$1001,customers!$B$2:$B$1001,,0)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_xlfn.XLOOKUP(orders!C89,customers!$A$2:$A$1001,customers!$B$2:$B$1001,,0)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_xlfn.XLOOKUP(orders!C90,customers!$A$2:$A$1001,customers!$B$2:$B$1001,,0)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_xlfn.XLOOKUP(orders!C91,customers!$A$2:$A$1001,customers!$B$2:$B$1001,,0)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_xlfn.XLOOKUP(orders!C92,customers!$A$2:$A$1001,customers!$B$2:$B$1001,,0)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_xlfn.XLOOKUP(orders!C93,customers!$A$2:$A$1001,customers!$B$2:$B$1001,,0)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_xlfn.XLOOKUP(orders!C94,customers!$A$2:$A$1001,customers!$B$2:$B$1001,,0)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_xlfn.XLOOKUP(orders!C95,customers!$A$2:$A$1001,customers!$B$2:$B$1001,,0)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_xlfn.XLOOKUP(orders!C96,customers!$A$2:$A$1001,customers!$B$2:$B$1001,,0)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_xlfn.XLOOKUP(orders!C97,customers!$A$2:$A$1001,customers!$B$2:$B$1001,,0)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_xlfn.XLOOKUP(orders!C98,customers!$A$2:$A$1001,customers!$B$2:$B$1001,,0)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_xlfn.XLOOKUP(orders!C99,customers!$A$2:$A$1001,customers!$B$2:$B$1001,,0)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_xlfn.XLOOKUP(orders!C100,customers!$A$2:$A$1001,customers!$B$2:$B$1001,,0)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_xlfn.XLOOKUP(orders!C101,customers!$A$2:$A$1001,customers!$B$2:$B$1001,,0)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_xlfn.XLOOKUP(orders!C102,customers!$A$2:$A$1001,customers!$B$2:$B$1001,,0)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_xlfn.XLOOKUP(orders!C103,customers!$A$2:$A$1001,customers!$B$2:$B$1001,,0)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_xlfn.XLOOKUP(orders!C104,customers!$A$2:$A$1001,customers!$B$2:$B$1001,,0)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_xlfn.XLOOKUP(orders!C105,customers!$A$2:$A$1001,customers!$B$2:$B$1001,,0)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_xlfn.XLOOKUP(orders!C106,customers!$A$2:$A$1001,customers!$B$2:$B$1001,,0)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_xlfn.XLOOKUP(orders!C107,customers!$A$2:$A$1001,customers!$B$2:$B$1001,,0)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_xlfn.XLOOKUP(orders!C108,customers!$A$2:$A$1001,customers!$B$2:$B$1001,,0)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_xlfn.XLOOKUP(orders!C109,customers!$A$2:$A$1001,customers!$B$2:$B$1001,,0)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_xlfn.XLOOKUP(orders!C110,customers!$A$2:$A$1001,customers!$B$2:$B$1001,,0)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_xlfn.XLOOKUP(orders!C111,customers!$A$2:$A$1001,customers!$B$2:$B$1001,,0)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_xlfn.XLOOKUP(orders!C112,customers!$A$2:$A$1001,customers!$B$2:$B$1001,,0)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_xlfn.XLOOKUP(orders!C113,customers!$A$2:$A$1001,customers!$B$2:$B$1001,,0)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_xlfn.XLOOKUP(orders!C114,customers!$A$2:$A$1001,customers!$B$2:$B$1001,,0)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_xlfn.XLOOKUP(orders!C115,customers!$A$2:$A$1001,customers!$B$2:$B$1001,,0)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_xlfn.XLOOKUP(orders!C116,customers!$A$2:$A$1001,customers!$B$2:$B$1001,,0)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_xlfn.XLOOKUP(orders!C117,customers!$A$2:$A$1001,customers!$B$2:$B$1001,,0)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_xlfn.XLOOKUP(orders!C118,customers!$A$2:$A$1001,customers!$B$2:$B$1001,,0)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_xlfn.XLOOKUP(orders!C119,customers!$A$2:$A$1001,customers!$B$2:$B$1001,,0)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_xlfn.XLOOKUP(orders!C120,customers!$A$2:$A$1001,customers!$B$2:$B$1001,,0)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_xlfn.XLOOKUP(orders!C121,customers!$A$2:$A$1001,customers!$B$2:$B$1001,,0)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_xlfn.XLOOKUP(orders!C122,customers!$A$2:$A$1001,customers!$B$2:$B$1001,,0)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_xlfn.XLOOKUP(orders!C123,customers!$A$2:$A$1001,customers!$B$2:$B$1001,,0)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_xlfn.XLOOKUP(orders!C124,customers!$A$2:$A$1001,customers!$B$2:$B$1001,,0)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_xlfn.XLOOKUP(orders!C125,customers!$A$2:$A$1001,customers!$B$2:$B$1001,,0)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_xlfn.XLOOKUP(orders!C126,customers!$A$2:$A$1001,customers!$B$2:$B$1001,,0)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_xlfn.XLOOKUP(orders!C127,customers!$A$2:$A$1001,customers!$B$2:$B$1001,,0)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_xlfn.XLOOKUP(orders!C128,customers!$A$2:$A$1001,customers!$B$2:$B$1001,,0)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_xlfn.XLOOKUP(orders!C129,customers!$A$2:$A$1001,customers!$B$2:$B$1001,,0)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_xlfn.XLOOKUP(orders!C130,customers!$A$2:$A$1001,customers!$B$2:$B$1001,,0)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_xlfn.XLOOKUP(orders!C131,customers!$A$2:$A$1001,customers!$B$2:$B$1001,,0)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_xlfn.XLOOKUP(orders!C132,customers!$A$2:$A$1001,customers!$B$2:$B$1001,,0)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_xlfn.XLOOKUP(orders!C133,customers!$A$2:$A$1001,customers!$B$2:$B$1001,,0)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_xlfn.XLOOKUP(orders!C134,customers!$A$2:$A$1001,customers!$B$2:$B$1001,,0)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_xlfn.XLOOKUP(orders!C135,customers!$A$2:$A$1001,customers!$B$2:$B$1001,,0)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_xlfn.XLOOKUP(orders!C136,customers!$A$2:$A$1001,customers!$B$2:$B$1001,,0)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_xlfn.XLOOKUP(orders!C137,customers!$A$2:$A$1001,customers!$B$2:$B$1001,,0)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_xlfn.XLOOKUP(orders!C138,customers!$A$2:$A$1001,customers!$B$2:$B$1001,,0)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_xlfn.XLOOKUP(orders!C139,customers!$A$2:$A$1001,customers!$B$2:$B$1001,,0)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_xlfn.XLOOKUP(orders!C140,customers!$A$2:$A$1001,customers!$B$2:$B$1001,,0)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_xlfn.XLOOKUP(orders!C141,customers!$A$2:$A$1001,customers!$B$2:$B$1001,,0)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_xlfn.XLOOKUP(orders!C142,customers!$A$2:$A$1001,customers!$B$2:$B$1001,,0)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_xlfn.XLOOKUP(orders!C143,customers!$A$2:$A$1001,customers!$B$2:$B$1001,,0)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_xlfn.XLOOKUP(orders!C144,customers!$A$2:$A$1001,customers!$B$2:$B$1001,,0)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_xlfn.XLOOKUP(orders!C145,customers!$A$2:$A$1001,customers!$B$2:$B$1001,,0)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_xlfn.XLOOKUP(orders!C146,customers!$A$2:$A$1001,customers!$B$2:$B$1001,,0)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_xlfn.XLOOKUP(orders!C147,customers!$A$2:$A$1001,customers!$B$2:$B$1001,,0)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_xlfn.XLOOKUP(orders!C148,customers!$A$2:$A$1001,customers!$B$2:$B$1001,,0)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_xlfn.XLOOKUP(orders!C149,customers!$A$2:$A$1001,customers!$B$2:$B$1001,,0)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_xlfn.XLOOKUP(orders!C150,customers!$A$2:$A$1001,customers!$B$2:$B$1001,,0)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_xlfn.XLOOKUP(orders!C151,customers!$A$2:$A$1001,customers!$B$2:$B$1001,,0)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_xlfn.XLOOKUP(orders!C152,customers!$A$2:$A$1001,customers!$B$2:$B$1001,,0)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_xlfn.XLOOKUP(orders!C153,customers!$A$2:$A$1001,customers!$B$2:$B$1001,,0)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_xlfn.XLOOKUP(orders!C154,customers!$A$2:$A$1001,customers!$B$2:$B$1001,,0)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_xlfn.XLOOKUP(orders!C155,customers!$A$2:$A$1001,customers!$B$2:$B$1001,,0)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_xlfn.XLOOKUP(orders!C156,customers!$A$2:$A$1001,customers!$B$2:$B$1001,,0)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_xlfn.XLOOKUP(orders!C157,customers!$A$2:$A$1001,customers!$B$2:$B$1001,,0)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_xlfn.XLOOKUP(orders!C158,customers!$A$2:$A$1001,customers!$B$2:$B$1001,,0)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_xlfn.XLOOKUP(orders!C159,customers!$A$2:$A$1001,customers!$B$2:$B$1001,,0)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_xlfn.XLOOKUP(orders!C160,customers!$A$2:$A$1001,customers!$B$2:$B$1001,,0)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_xlfn.XLOOKUP(orders!C161,customers!$A$2:$A$1001,customers!$B$2:$B$1001,,0)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_xlfn.XLOOKUP(orders!C162,customers!$A$2:$A$1001,customers!$B$2:$B$1001,,0)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_xlfn.XLOOKUP(orders!C163,customers!$A$2:$A$1001,customers!$B$2:$B$1001,,0)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_xlfn.XLOOKUP(orders!C164,customers!$A$2:$A$1001,customers!$B$2:$B$1001,,0)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_xlfn.XLOOKUP(orders!C165,customers!$A$2:$A$1001,customers!$B$2:$B$1001,,0)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_xlfn.XLOOKUP(orders!C166,customers!$A$2:$A$1001,customers!$B$2:$B$1001,,0)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_xlfn.XLOOKUP(orders!C167,customers!$A$2:$A$1001,customers!$B$2:$B$1001,,0)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_xlfn.XLOOKUP(orders!C168,customers!$A$2:$A$1001,customers!$B$2:$B$1001,,0)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_xlfn.XLOOKUP(orders!C169,customers!$A$2:$A$1001,customers!$B$2:$B$1001,,0)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_xlfn.XLOOKUP(orders!C170,customers!$A$2:$A$1001,customers!$B$2:$B$1001,,0)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_xlfn.XLOOKUP(orders!C171,customers!$A$2:$A$1001,customers!$B$2:$B$1001,,0)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_xlfn.XLOOKUP(orders!C172,customers!$A$2:$A$1001,customers!$B$2:$B$1001,,0)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_xlfn.XLOOKUP(orders!C173,customers!$A$2:$A$1001,customers!$B$2:$B$1001,,0)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_xlfn.XLOOKUP(orders!C174,customers!$A$2:$A$1001,customers!$B$2:$B$1001,,0)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_xlfn.XLOOKUP(orders!C175,customers!$A$2:$A$1001,customers!$B$2:$B$1001,,0)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_xlfn.XLOOKUP(orders!C176,customers!$A$2:$A$1001,customers!$B$2:$B$1001,,0)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_xlfn.XLOOKUP(orders!C177,customers!$A$2:$A$1001,customers!$B$2:$B$1001,,0)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_xlfn.XLOOKUP(orders!C178,customers!$A$2:$A$1001,customers!$B$2:$B$1001,,0)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_xlfn.XLOOKUP(orders!C179,customers!$A$2:$A$1001,customers!$B$2:$B$1001,,0)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_xlfn.XLOOKUP(orders!C180,customers!$A$2:$A$1001,customers!$B$2:$B$1001,,0)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_xlfn.XLOOKUP(orders!C181,customers!$A$2:$A$1001,customers!$B$2:$B$1001,,0)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_xlfn.XLOOKUP(orders!C182,customers!$A$2:$A$1001,customers!$B$2:$B$1001,,0)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_xlfn.XLOOKUP(orders!C183,customers!$A$2:$A$1001,customers!$B$2:$B$1001,,0)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_xlfn.XLOOKUP(orders!C184,customers!$A$2:$A$1001,customers!$B$2:$B$1001,,0)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_xlfn.XLOOKUP(orders!C185,customers!$A$2:$A$1001,customers!$B$2:$B$1001,,0)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_xlfn.XLOOKUP(orders!C186,customers!$A$2:$A$1001,customers!$B$2:$B$1001,,0)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_xlfn.XLOOKUP(orders!C187,customers!$A$2:$A$1001,customers!$B$2:$B$1001,,0)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_xlfn.XLOOKUP(orders!C188,customers!$A$2:$A$1001,customers!$B$2:$B$1001,,0)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_xlfn.XLOOKUP(orders!C189,customers!$A$2:$A$1001,customers!$B$2:$B$1001,,0)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_xlfn.XLOOKUP(orders!C190,customers!$A$2:$A$1001,customers!$B$2:$B$1001,,0)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_xlfn.XLOOKUP(orders!C191,customers!$A$2:$A$1001,customers!$B$2:$B$1001,,0)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_xlfn.XLOOKUP(orders!C192,customers!$A$2:$A$1001,customers!$B$2:$B$1001,,0)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_xlfn.XLOOKUP(orders!C193,customers!$A$2:$A$1001,customers!$B$2:$B$1001,,0)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_xlfn.XLOOKUP(orders!C194,customers!$A$2:$A$1001,customers!$B$2:$B$1001,,0)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_xlfn.XLOOKUP(orders!C195,customers!$A$2:$A$1001,customers!$B$2:$B$1001,,0)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_xlfn.XLOOKUP(orders!C196,customers!$A$2:$A$1001,customers!$B$2:$B$1001,,0)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_xlfn.XLOOKUP(orders!C197,customers!$A$2:$A$1001,customers!$B$2:$B$1001,,0)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_xlfn.XLOOKUP(orders!C198,customers!$A$2:$A$1001,customers!$B$2:$B$1001,,0)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_xlfn.XLOOKUP(orders!C199,customers!$A$2:$A$1001,customers!$B$2:$B$1001,,0)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_xlfn.XLOOKUP(orders!C200,customers!$A$2:$A$1001,customers!$B$2:$B$1001,,0)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_xlfn.XLOOKUP(orders!C201,customers!$A$2:$A$1001,customers!$B$2:$B$1001,,0)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_xlfn.XLOOKUP(orders!C202,customers!$A$2:$A$1001,customers!$B$2:$B$1001,,0)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_xlfn.XLOOKUP(orders!C203,customers!$A$2:$A$1001,customers!$B$2:$B$1001,,0)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_xlfn.XLOOKUP(orders!C204,customers!$A$2:$A$1001,customers!$B$2:$B$1001,,0)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_xlfn.XLOOKUP(orders!C205,customers!$A$2:$A$1001,customers!$B$2:$B$1001,,0)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_xlfn.XLOOKUP(orders!C206,customers!$A$2:$A$1001,customers!$B$2:$B$1001,,0)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_xlfn.XLOOKUP(orders!C207,customers!$A$2:$A$1001,customers!$B$2:$B$1001,,0)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_xlfn.XLOOKUP(orders!C208,customers!$A$2:$A$1001,customers!$B$2:$B$1001,,0)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_xlfn.XLOOKUP(orders!C209,customers!$A$2:$A$1001,customers!$B$2:$B$1001,,0)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_xlfn.XLOOKUP(orders!C210,customers!$A$2:$A$1001,customers!$B$2:$B$1001,,0)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_xlfn.XLOOKUP(orders!C211,customers!$A$2:$A$1001,customers!$B$2:$B$1001,,0)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_xlfn.XLOOKUP(orders!C212,customers!$A$2:$A$1001,customers!$B$2:$B$1001,,0)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_xlfn.XLOOKUP(orders!C213,customers!$A$2:$A$1001,customers!$B$2:$B$1001,,0)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_xlfn.XLOOKUP(orders!C214,customers!$A$2:$A$1001,customers!$B$2:$B$1001,,0)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_xlfn.XLOOKUP(orders!C215,customers!$A$2:$A$1001,customers!$B$2:$B$1001,,0)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_xlfn.XLOOKUP(orders!C216,customers!$A$2:$A$1001,customers!$B$2:$B$1001,,0)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_xlfn.XLOOKUP(orders!C217,customers!$A$2:$A$1001,customers!$B$2:$B$1001,,0)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_xlfn.XLOOKUP(orders!C218,customers!$A$2:$A$1001,customers!$B$2:$B$1001,,0)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_xlfn.XLOOKUP(orders!C219,customers!$A$2:$A$1001,customers!$B$2:$B$1001,,0)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_xlfn.XLOOKUP(orders!C220,customers!$A$2:$A$1001,customers!$B$2:$B$1001,,0)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_xlfn.XLOOKUP(orders!C221,customers!$A$2:$A$1001,customers!$B$2:$B$1001,,0)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_xlfn.XLOOKUP(orders!C222,customers!$A$2:$A$1001,customers!$B$2:$B$1001,,0)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_xlfn.XLOOKUP(orders!C223,customers!$A$2:$A$1001,customers!$B$2:$B$1001,,0)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_xlfn.XLOOKUP(orders!C224,customers!$A$2:$A$1001,customers!$B$2:$B$1001,,0)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_xlfn.XLOOKUP(orders!C225,customers!$A$2:$A$1001,customers!$B$2:$B$1001,,0)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_xlfn.XLOOKUP(orders!C226,customers!$A$2:$A$1001,customers!$B$2:$B$1001,,0)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_xlfn.XLOOKUP(orders!C227,customers!$A$2:$A$1001,customers!$B$2:$B$1001,,0)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_xlfn.XLOOKUP(orders!C228,customers!$A$2:$A$1001,customers!$B$2:$B$1001,,0)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_xlfn.XLOOKUP(orders!C229,customers!$A$2:$A$1001,customers!$B$2:$B$1001,,0)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_xlfn.XLOOKUP(orders!C230,customers!$A$2:$A$1001,customers!$B$2:$B$1001,,0)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_xlfn.XLOOKUP(orders!C231,customers!$A$2:$A$1001,customers!$B$2:$B$1001,,0)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_xlfn.XLOOKUP(orders!C232,customers!$A$2:$A$1001,customers!$B$2:$B$1001,,0)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_xlfn.XLOOKUP(orders!C233,customers!$A$2:$A$1001,customers!$B$2:$B$1001,,0)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_xlfn.XLOOKUP(orders!C234,customers!$A$2:$A$1001,customers!$B$2:$B$1001,,0)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_xlfn.XLOOKUP(orders!C235,customers!$A$2:$A$1001,customers!$B$2:$B$1001,,0)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_xlfn.XLOOKUP(orders!C236,customers!$A$2:$A$1001,customers!$B$2:$B$1001,,0)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_xlfn.XLOOKUP(orders!C237,customers!$A$2:$A$1001,customers!$B$2:$B$1001,,0)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_xlfn.XLOOKUP(orders!C238,customers!$A$2:$A$1001,customers!$B$2:$B$1001,,0)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_xlfn.XLOOKUP(orders!C239,customers!$A$2:$A$1001,customers!$B$2:$B$1001,,0)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_xlfn.XLOOKUP(orders!C240,customers!$A$2:$A$1001,customers!$B$2:$B$1001,,0)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_xlfn.XLOOKUP(orders!C241,customers!$A$2:$A$1001,customers!$B$2:$B$1001,,0)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_xlfn.XLOOKUP(orders!C242,customers!$A$2:$A$1001,customers!$B$2:$B$1001,,0)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_xlfn.XLOOKUP(orders!C243,customers!$A$2:$A$1001,customers!$B$2:$B$1001,,0)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_xlfn.XLOOKUP(orders!C244,customers!$A$2:$A$1001,customers!$B$2:$B$1001,,0)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_xlfn.XLOOKUP(orders!C245,customers!$A$2:$A$1001,customers!$B$2:$B$1001,,0)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_xlfn.XLOOKUP(orders!C246,customers!$A$2:$A$1001,customers!$B$2:$B$1001,,0)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_xlfn.XLOOKUP(orders!C247,customers!$A$2:$A$1001,customers!$B$2:$B$1001,,0)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_xlfn.XLOOKUP(orders!C248,customers!$A$2:$A$1001,customers!$B$2:$B$1001,,0)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_xlfn.XLOOKUP(orders!C249,customers!$A$2:$A$1001,customers!$B$2:$B$1001,,0)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_xlfn.XLOOKUP(orders!C250,customers!$A$2:$A$1001,customers!$B$2:$B$1001,,0)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_xlfn.XLOOKUP(orders!C251,customers!$A$2:$A$1001,customers!$B$2:$B$1001,,0)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_xlfn.XLOOKUP(orders!C252,customers!$A$2:$A$1001,customers!$B$2:$B$1001,,0)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_xlfn.XLOOKUP(orders!C253,customers!$A$2:$A$1001,customers!$B$2:$B$1001,,0)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_xlfn.XLOOKUP(orders!C254,customers!$A$2:$A$1001,customers!$B$2:$B$1001,,0)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_xlfn.XLOOKUP(orders!C255,customers!$A$2:$A$1001,customers!$B$2:$B$1001,,0)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_xlfn.XLOOKUP(orders!C256,customers!$A$2:$A$1001,customers!$B$2:$B$1001,,0)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_xlfn.XLOOKUP(orders!C257,customers!$A$2:$A$1001,customers!$B$2:$B$1001,,0)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_xlfn.XLOOKUP(orders!C258,customers!$A$2:$A$1001,customers!$B$2:$B$1001,,0)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_xlfn.XLOOKUP(orders!C259,customers!$A$2:$A$1001,customers!$B$2:$B$1001,,0)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_xlfn.XLOOKUP(orders!C260,customers!$A$2:$A$1001,customers!$B$2:$B$1001,,0)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_xlfn.XLOOKUP(orders!C261,customers!$A$2:$A$1001,customers!$B$2:$B$1001,,0)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_xlfn.XLOOKUP(orders!C262,customers!$A$2:$A$1001,customers!$B$2:$B$1001,,0)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_xlfn.XLOOKUP(orders!C263,customers!$A$2:$A$1001,customers!$B$2:$B$1001,,0)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_xlfn.XLOOKUP(orders!C264,customers!$A$2:$A$1001,customers!$B$2:$B$1001,,0)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_xlfn.XLOOKUP(orders!C265,customers!$A$2:$A$1001,customers!$B$2:$B$1001,,0)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_xlfn.XLOOKUP(orders!C266,customers!$A$2:$A$1001,customers!$B$2:$B$1001,,0)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_xlfn.XLOOKUP(orders!C267,customers!$A$2:$A$1001,customers!$B$2:$B$1001,,0)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_xlfn.XLOOKUP(orders!C268,customers!$A$2:$A$1001,customers!$B$2:$B$1001,,0)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_xlfn.XLOOKUP(orders!C269,customers!$A$2:$A$1001,customers!$B$2:$B$1001,,0)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_xlfn.XLOOKUP(orders!C270,customers!$A$2:$A$1001,customers!$B$2:$B$1001,,0)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_xlfn.XLOOKUP(orders!C271,customers!$A$2:$A$1001,customers!$B$2:$B$1001,,0)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_xlfn.XLOOKUP(orders!C272,customers!$A$2:$A$1001,customers!$B$2:$B$1001,,0)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_xlfn.XLOOKUP(orders!C273,customers!$A$2:$A$1001,customers!$B$2:$B$1001,,0)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_xlfn.XLOOKUP(orders!C274,customers!$A$2:$A$1001,customers!$B$2:$B$1001,,0)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_xlfn.XLOOKUP(orders!C275,customers!$A$2:$A$1001,customers!$B$2:$B$1001,,0)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_xlfn.XLOOKUP(orders!C276,customers!$A$2:$A$1001,customers!$B$2:$B$1001,,0)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_xlfn.XLOOKUP(orders!C277,customers!$A$2:$A$1001,customers!$B$2:$B$1001,,0)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_xlfn.XLOOKUP(orders!C278,customers!$A$2:$A$1001,customers!$B$2:$B$1001,,0)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_xlfn.XLOOKUP(orders!C279,customers!$A$2:$A$1001,customers!$B$2:$B$1001,,0)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_xlfn.XLOOKUP(orders!C280,customers!$A$2:$A$1001,customers!$B$2:$B$1001,,0)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_xlfn.XLOOKUP(orders!C281,customers!$A$2:$A$1001,customers!$B$2:$B$1001,,0)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_xlfn.XLOOKUP(orders!C282,customers!$A$2:$A$1001,customers!$B$2:$B$1001,,0)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_xlfn.XLOOKUP(orders!C283,customers!$A$2:$A$1001,customers!$B$2:$B$1001,,0)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_xlfn.XLOOKUP(orders!C284,customers!$A$2:$A$1001,customers!$B$2:$B$1001,,0)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_xlfn.XLOOKUP(orders!C285,customers!$A$2:$A$1001,customers!$B$2:$B$1001,,0)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_xlfn.XLOOKUP(orders!C286,customers!$A$2:$A$1001,customers!$B$2:$B$1001,,0)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_xlfn.XLOOKUP(orders!C287,customers!$A$2:$A$1001,customers!$B$2:$B$1001,,0)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_xlfn.XLOOKUP(orders!C288,customers!$A$2:$A$1001,customers!$B$2:$B$1001,,0)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_xlfn.XLOOKUP(orders!C289,customers!$A$2:$A$1001,customers!$B$2:$B$1001,,0)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_xlfn.XLOOKUP(orders!C290,customers!$A$2:$A$1001,customers!$B$2:$B$1001,,0)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_xlfn.XLOOKUP(orders!C291,customers!$A$2:$A$1001,customers!$B$2:$B$1001,,0)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_xlfn.XLOOKUP(orders!C292,customers!$A$2:$A$1001,customers!$B$2:$B$1001,,0)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_xlfn.XLOOKUP(orders!C293,customers!$A$2:$A$1001,customers!$B$2:$B$1001,,0)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_xlfn.XLOOKUP(orders!C294,customers!$A$2:$A$1001,customers!$B$2:$B$1001,,0)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_xlfn.XLOOKUP(orders!C295,customers!$A$2:$A$1001,customers!$B$2:$B$1001,,0)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_xlfn.XLOOKUP(orders!C296,customers!$A$2:$A$1001,customers!$B$2:$B$1001,,0)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_xlfn.XLOOKUP(orders!C297,customers!$A$2:$A$1001,customers!$B$2:$B$1001,,0)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_xlfn.XLOOKUP(orders!C298,customers!$A$2:$A$1001,customers!$B$2:$B$1001,,0)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_xlfn.XLOOKUP(orders!C299,customers!$A$2:$A$1001,customers!$B$2:$B$1001,,0)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_xlfn.XLOOKUP(orders!C300,customers!$A$2:$A$1001,customers!$B$2:$B$1001,,0)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_xlfn.XLOOKUP(orders!C301,customers!$A$2:$A$1001,customers!$B$2:$B$1001,,0)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_xlfn.XLOOKUP(orders!C302,customers!$A$2:$A$1001,customers!$B$2:$B$1001,,0)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_xlfn.XLOOKUP(orders!C303,customers!$A$2:$A$1001,customers!$B$2:$B$1001,,0)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_xlfn.XLOOKUP(orders!C304,customers!$A$2:$A$1001,customers!$B$2:$B$1001,,0)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_xlfn.XLOOKUP(orders!C305,customers!$A$2:$A$1001,customers!$B$2:$B$1001,,0)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_xlfn.XLOOKUP(orders!C306,customers!$A$2:$A$1001,customers!$B$2:$B$1001,,0)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_xlfn.XLOOKUP(orders!C307,customers!$A$2:$A$1001,customers!$B$2:$B$1001,,0)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_xlfn.XLOOKUP(orders!C308,customers!$A$2:$A$1001,customers!$B$2:$B$1001,,0)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_xlfn.XLOOKUP(orders!C309,customers!$A$2:$A$1001,customers!$B$2:$B$1001,,0)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_xlfn.XLOOKUP(orders!C310,customers!$A$2:$A$1001,customers!$B$2:$B$1001,,0)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_xlfn.XLOOKUP(orders!C311,customers!$A$2:$A$1001,customers!$B$2:$B$1001,,0)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_xlfn.XLOOKUP(orders!C312,customers!$A$2:$A$1001,customers!$B$2:$B$1001,,0)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_xlfn.XLOOKUP(orders!C313,customers!$A$2:$A$1001,customers!$B$2:$B$1001,,0)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_xlfn.XLOOKUP(orders!C314,customers!$A$2:$A$1001,customers!$B$2:$B$1001,,0)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_xlfn.XLOOKUP(orders!C315,customers!$A$2:$A$1001,customers!$B$2:$B$1001,,0)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_xlfn.XLOOKUP(orders!C316,customers!$A$2:$A$1001,customers!$B$2:$B$1001,,0)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_xlfn.XLOOKUP(orders!C317,customers!$A$2:$A$1001,customers!$B$2:$B$1001,,0)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_xlfn.XLOOKUP(orders!C318,customers!$A$2:$A$1001,customers!$B$2:$B$1001,,0)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_xlfn.XLOOKUP(orders!C319,customers!$A$2:$A$1001,customers!$B$2:$B$1001,,0)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_xlfn.XLOOKUP(orders!C320,customers!$A$2:$A$1001,customers!$B$2:$B$1001,,0)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_xlfn.XLOOKUP(orders!C321,customers!$A$2:$A$1001,customers!$B$2:$B$1001,,0)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_xlfn.XLOOKUP(orders!C322,customers!$A$2:$A$1001,customers!$B$2:$B$1001,,0)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_xlfn.XLOOKUP(orders!C323,customers!$A$2:$A$1001,customers!$B$2:$B$1001,,0)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_xlfn.XLOOKUP(orders!C324,customers!$A$2:$A$1001,customers!$B$2:$B$1001,,0)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_xlfn.XLOOKUP(orders!C325,customers!$A$2:$A$1001,customers!$B$2:$B$1001,,0)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_xlfn.XLOOKUP(orders!C326,customers!$A$2:$A$1001,customers!$B$2:$B$1001,,0)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_xlfn.XLOOKUP(orders!C327,customers!$A$2:$A$1001,customers!$B$2:$B$1001,,0)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_xlfn.XLOOKUP(orders!C328,customers!$A$2:$A$1001,customers!$B$2:$B$1001,,0)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_xlfn.XLOOKUP(orders!C329,customers!$A$2:$A$1001,customers!$B$2:$B$1001,,0)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_xlfn.XLOOKUP(orders!C330,customers!$A$2:$A$1001,customers!$B$2:$B$1001,,0)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_xlfn.XLOOKUP(orders!C331,customers!$A$2:$A$1001,customers!$B$2:$B$1001,,0)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_xlfn.XLOOKUP(orders!C332,customers!$A$2:$A$1001,customers!$B$2:$B$1001,,0)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_xlfn.XLOOKUP(orders!C333,customers!$A$2:$A$1001,customers!$B$2:$B$1001,,0)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_xlfn.XLOOKUP(orders!C334,customers!$A$2:$A$1001,customers!$B$2:$B$1001,,0)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_xlfn.XLOOKUP(orders!C335,customers!$A$2:$A$1001,customers!$B$2:$B$1001,,0)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_xlfn.XLOOKUP(orders!C336,customers!$A$2:$A$1001,customers!$B$2:$B$1001,,0)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_xlfn.XLOOKUP(orders!C337,customers!$A$2:$A$1001,customers!$B$2:$B$1001,,0)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_xlfn.XLOOKUP(orders!C338,customers!$A$2:$A$1001,customers!$B$2:$B$1001,,0)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_xlfn.XLOOKUP(orders!C339,customers!$A$2:$A$1001,customers!$B$2:$B$1001,,0)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_xlfn.XLOOKUP(orders!C340,customers!$A$2:$A$1001,customers!$B$2:$B$1001,,0)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_xlfn.XLOOKUP(orders!C341,customers!$A$2:$A$1001,customers!$B$2:$B$1001,,0)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_xlfn.XLOOKUP(orders!C342,customers!$A$2:$A$1001,customers!$B$2:$B$1001,,0)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_xlfn.XLOOKUP(orders!C343,customers!$A$2:$A$1001,customers!$B$2:$B$1001,,0)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_xlfn.XLOOKUP(orders!C344,customers!$A$2:$A$1001,customers!$B$2:$B$1001,,0)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_xlfn.XLOOKUP(orders!C345,customers!$A$2:$A$1001,customers!$B$2:$B$1001,,0)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_xlfn.XLOOKUP(orders!C346,customers!$A$2:$A$1001,customers!$B$2:$B$1001,,0)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_xlfn.XLOOKUP(orders!C347,customers!$A$2:$A$1001,customers!$B$2:$B$1001,,0)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_xlfn.XLOOKUP(orders!C348,customers!$A$2:$A$1001,customers!$B$2:$B$1001,,0)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_xlfn.XLOOKUP(orders!C349,customers!$A$2:$A$1001,customers!$B$2:$B$1001,,0)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_xlfn.XLOOKUP(orders!C350,customers!$A$2:$A$1001,customers!$B$2:$B$1001,,0)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_xlfn.XLOOKUP(orders!C351,customers!$A$2:$A$1001,customers!$B$2:$B$1001,,0)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_xlfn.XLOOKUP(orders!C352,customers!$A$2:$A$1001,customers!$B$2:$B$1001,,0)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_xlfn.XLOOKUP(orders!C353,customers!$A$2:$A$1001,customers!$B$2:$B$1001,,0)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_xlfn.XLOOKUP(orders!C354,customers!$A$2:$A$1001,customers!$B$2:$B$1001,,0)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_xlfn.XLOOKUP(orders!C355,customers!$A$2:$A$1001,customers!$B$2:$B$1001,,0)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_xlfn.XLOOKUP(orders!C356,customers!$A$2:$A$1001,customers!$B$2:$B$1001,,0)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_xlfn.XLOOKUP(orders!C357,customers!$A$2:$A$1001,customers!$B$2:$B$1001,,0)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_xlfn.XLOOKUP(orders!C358,customers!$A$2:$A$1001,customers!$B$2:$B$1001,,0)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_xlfn.XLOOKUP(orders!C359,customers!$A$2:$A$1001,customers!$B$2:$B$1001,,0)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_xlfn.XLOOKUP(orders!C360,customers!$A$2:$A$1001,customers!$B$2:$B$1001,,0)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_xlfn.XLOOKUP(orders!C361,customers!$A$2:$A$1001,customers!$B$2:$B$1001,,0)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_xlfn.XLOOKUP(orders!C362,customers!$A$2:$A$1001,customers!$B$2:$B$1001,,0)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_xlfn.XLOOKUP(orders!C363,customers!$A$2:$A$1001,customers!$B$2:$B$1001,,0)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_xlfn.XLOOKUP(orders!C364,customers!$A$2:$A$1001,customers!$B$2:$B$1001,,0)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_xlfn.XLOOKUP(orders!C365,customers!$A$2:$A$1001,customers!$B$2:$B$1001,,0)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_xlfn.XLOOKUP(orders!C366,customers!$A$2:$A$1001,customers!$B$2:$B$1001,,0)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_xlfn.XLOOKUP(orders!C367,customers!$A$2:$A$1001,customers!$B$2:$B$1001,,0)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_xlfn.XLOOKUP(orders!C368,customers!$A$2:$A$1001,customers!$B$2:$B$1001,,0)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_xlfn.XLOOKUP(orders!C369,customers!$A$2:$A$1001,customers!$B$2:$B$1001,,0)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_xlfn.XLOOKUP(orders!C370,customers!$A$2:$A$1001,customers!$B$2:$B$1001,,0)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_xlfn.XLOOKUP(orders!C371,customers!$A$2:$A$1001,customers!$B$2:$B$1001,,0)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_xlfn.XLOOKUP(orders!C372,customers!$A$2:$A$1001,customers!$B$2:$B$1001,,0)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_xlfn.XLOOKUP(orders!C373,customers!$A$2:$A$1001,customers!$B$2:$B$1001,,0)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_xlfn.XLOOKUP(orders!C374,customers!$A$2:$A$1001,customers!$B$2:$B$1001,,0)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_xlfn.XLOOKUP(orders!C375,customers!$A$2:$A$1001,customers!$B$2:$B$1001,,0)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_xlfn.XLOOKUP(orders!C376,customers!$A$2:$A$1001,customers!$B$2:$B$1001,,0)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_xlfn.XLOOKUP(orders!C377,customers!$A$2:$A$1001,customers!$B$2:$B$1001,,0)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_xlfn.XLOOKUP(orders!C378,customers!$A$2:$A$1001,customers!$B$2:$B$1001,,0)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_xlfn.XLOOKUP(orders!C379,customers!$A$2:$A$1001,customers!$B$2:$B$1001,,0)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_xlfn.XLOOKUP(orders!C380,customers!$A$2:$A$1001,customers!$B$2:$B$1001,,0)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_xlfn.XLOOKUP(orders!C381,customers!$A$2:$A$1001,customers!$B$2:$B$1001,,0)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_xlfn.XLOOKUP(orders!C382,customers!$A$2:$A$1001,customers!$B$2:$B$1001,,0)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_xlfn.XLOOKUP(orders!C383,customers!$A$2:$A$1001,customers!$B$2:$B$1001,,0)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_xlfn.XLOOKUP(orders!C384,customers!$A$2:$A$1001,customers!$B$2:$B$1001,,0)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_xlfn.XLOOKUP(orders!C385,customers!$A$2:$A$1001,customers!$B$2:$B$1001,,0)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_xlfn.XLOOKUP(orders!C386,customers!$A$2:$A$1001,customers!$B$2:$B$1001,,0)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_xlfn.XLOOKUP(orders!C387,customers!$A$2:$A$1001,customers!$B$2:$B$1001,,0)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_xlfn.XLOOKUP(orders!C388,customers!$A$2:$A$1001,customers!$B$2:$B$1001,,0)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_xlfn.XLOOKUP(orders!C389,customers!$A$2:$A$1001,customers!$B$2:$B$1001,,0)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_xlfn.XLOOKUP(orders!C390,customers!$A$2:$A$1001,customers!$B$2:$B$1001,,0)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_xlfn.XLOOKUP(orders!C391,customers!$A$2:$A$1001,customers!$B$2:$B$1001,,0)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_xlfn.XLOOKUP(orders!C392,customers!$A$2:$A$1001,customers!$B$2:$B$1001,,0)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_xlfn.XLOOKUP(orders!C393,customers!$A$2:$A$1001,customers!$B$2:$B$1001,,0)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_xlfn.XLOOKUP(orders!C394,customers!$A$2:$A$1001,customers!$B$2:$B$1001,,0)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_xlfn.XLOOKUP(orders!C395,customers!$A$2:$A$1001,customers!$B$2:$B$1001,,0)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_xlfn.XLOOKUP(orders!C396,customers!$A$2:$A$1001,customers!$B$2:$B$1001,,0)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_xlfn.XLOOKUP(orders!C397,customers!$A$2:$A$1001,customers!$B$2:$B$1001,,0)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_xlfn.XLOOKUP(orders!C398,customers!$A$2:$A$1001,customers!$B$2:$B$1001,,0)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_xlfn.XLOOKUP(orders!C399,customers!$A$2:$A$1001,customers!$B$2:$B$1001,,0)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_xlfn.XLOOKUP(orders!C400,customers!$A$2:$A$1001,customers!$B$2:$B$1001,,0)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_xlfn.XLOOKUP(orders!C401,customers!$A$2:$A$1001,customers!$B$2:$B$1001,,0)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_xlfn.XLOOKUP(orders!C402,customers!$A$2:$A$1001,customers!$B$2:$B$1001,,0)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_xlfn.XLOOKUP(orders!C403,customers!$A$2:$A$1001,customers!$B$2:$B$1001,,0)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_xlfn.XLOOKUP(orders!C404,customers!$A$2:$A$1001,customers!$B$2:$B$1001,,0)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_xlfn.XLOOKUP(orders!C405,customers!$A$2:$A$1001,customers!$B$2:$B$1001,,0)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_xlfn.XLOOKUP(orders!C406,customers!$A$2:$A$1001,customers!$B$2:$B$1001,,0)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_xlfn.XLOOKUP(orders!C407,customers!$A$2:$A$1001,customers!$B$2:$B$1001,,0)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_xlfn.XLOOKUP(orders!C408,customers!$A$2:$A$1001,customers!$B$2:$B$1001,,0)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_xlfn.XLOOKUP(orders!C409,customers!$A$2:$A$1001,customers!$B$2:$B$1001,,0)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_xlfn.XLOOKUP(orders!C410,customers!$A$2:$A$1001,customers!$B$2:$B$1001,,0)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_xlfn.XLOOKUP(orders!C411,customers!$A$2:$A$1001,customers!$B$2:$B$1001,,0)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_xlfn.XLOOKUP(orders!C412,customers!$A$2:$A$1001,customers!$B$2:$B$1001,,0)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_xlfn.XLOOKUP(orders!C413,customers!$A$2:$A$1001,customers!$B$2:$B$1001,,0)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_xlfn.XLOOKUP(orders!C414,customers!$A$2:$A$1001,customers!$B$2:$B$1001,,0)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_xlfn.XLOOKUP(orders!C415,customers!$A$2:$A$1001,customers!$B$2:$B$1001,,0)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_xlfn.XLOOKUP(orders!C416,customers!$A$2:$A$1001,customers!$B$2:$B$1001,,0)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_xlfn.XLOOKUP(orders!C417,customers!$A$2:$A$1001,customers!$B$2:$B$1001,,0)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_xlfn.XLOOKUP(orders!C418,customers!$A$2:$A$1001,customers!$B$2:$B$1001,,0)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_xlfn.XLOOKUP(orders!C419,customers!$A$2:$A$1001,customers!$B$2:$B$1001,,0)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_xlfn.XLOOKUP(orders!C420,customers!$A$2:$A$1001,customers!$B$2:$B$1001,,0)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_xlfn.XLOOKUP(orders!C421,customers!$A$2:$A$1001,customers!$B$2:$B$1001,,0)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_xlfn.XLOOKUP(orders!C422,customers!$A$2:$A$1001,customers!$B$2:$B$1001,,0)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_xlfn.XLOOKUP(orders!C423,customers!$A$2:$A$1001,customers!$B$2:$B$1001,,0)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_xlfn.XLOOKUP(orders!C424,customers!$A$2:$A$1001,customers!$B$2:$B$1001,,0)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_xlfn.XLOOKUP(orders!C425,customers!$A$2:$A$1001,customers!$B$2:$B$1001,,0)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_xlfn.XLOOKUP(orders!C426,customers!$A$2:$A$1001,customers!$B$2:$B$1001,,0)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_xlfn.XLOOKUP(orders!C427,customers!$A$2:$A$1001,customers!$B$2:$B$1001,,0)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_xlfn.XLOOKUP(orders!C428,customers!$A$2:$A$1001,customers!$B$2:$B$1001,,0)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_xlfn.XLOOKUP(orders!C429,customers!$A$2:$A$1001,customers!$B$2:$B$1001,,0)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_xlfn.XLOOKUP(orders!C430,customers!$A$2:$A$1001,customers!$B$2:$B$1001,,0)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_xlfn.XLOOKUP(orders!C431,customers!$A$2:$A$1001,customers!$B$2:$B$1001,,0)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_xlfn.XLOOKUP(orders!C432,customers!$A$2:$A$1001,customers!$B$2:$B$1001,,0)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_xlfn.XLOOKUP(orders!C433,customers!$A$2:$A$1001,customers!$B$2:$B$1001,,0)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_xlfn.XLOOKUP(orders!C434,customers!$A$2:$A$1001,customers!$B$2:$B$1001,,0)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_xlfn.XLOOKUP(orders!C435,customers!$A$2:$A$1001,customers!$B$2:$B$1001,,0)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_xlfn.XLOOKUP(orders!C436,customers!$A$2:$A$1001,customers!$B$2:$B$1001,,0)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_xlfn.XLOOKUP(orders!C437,customers!$A$2:$A$1001,customers!$B$2:$B$1001,,0)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_xlfn.XLOOKUP(orders!C438,customers!$A$2:$A$1001,customers!$B$2:$B$1001,,0)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_xlfn.XLOOKUP(orders!C439,customers!$A$2:$A$1001,customers!$B$2:$B$1001,,0)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_xlfn.XLOOKUP(orders!C440,customers!$A$2:$A$1001,customers!$B$2:$B$1001,,0)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_xlfn.XLOOKUP(orders!C441,customers!$A$2:$A$1001,customers!$B$2:$B$1001,,0)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_xlfn.XLOOKUP(orders!C442,customers!$A$2:$A$1001,customers!$B$2:$B$1001,,0)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_xlfn.XLOOKUP(orders!C443,customers!$A$2:$A$1001,customers!$B$2:$B$1001,,0)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_xlfn.XLOOKUP(orders!C444,customers!$A$2:$A$1001,customers!$B$2:$B$1001,,0)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_xlfn.XLOOKUP(orders!C445,customers!$A$2:$A$1001,customers!$B$2:$B$1001,,0)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_xlfn.XLOOKUP(orders!C446,customers!$A$2:$A$1001,customers!$B$2:$B$1001,,0)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_xlfn.XLOOKUP(orders!C447,customers!$A$2:$A$1001,customers!$B$2:$B$1001,,0)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_xlfn.XLOOKUP(orders!C448,customers!$A$2:$A$1001,customers!$B$2:$B$1001,,0)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_xlfn.XLOOKUP(orders!C449,customers!$A$2:$A$1001,customers!$B$2:$B$1001,,0)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_xlfn.XLOOKUP(orders!C450,customers!$A$2:$A$1001,customers!$B$2:$B$1001,,0)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_xlfn.XLOOKUP(orders!C451,customers!$A$2:$A$1001,customers!$B$2:$B$1001,,0)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_xlfn.XLOOKUP(orders!C452,customers!$A$2:$A$1001,customers!$B$2:$B$1001,,0)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_xlfn.XLOOKUP(orders!C453,customers!$A$2:$A$1001,customers!$B$2:$B$1001,,0)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_xlfn.XLOOKUP(orders!C454,customers!$A$2:$A$1001,customers!$B$2:$B$1001,,0)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_xlfn.XLOOKUP(orders!C455,customers!$A$2:$A$1001,customers!$B$2:$B$1001,,0)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_xlfn.XLOOKUP(orders!C456,customers!$A$2:$A$1001,customers!$B$2:$B$1001,,0)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_xlfn.XLOOKUP(orders!C457,customers!$A$2:$A$1001,customers!$B$2:$B$1001,,0)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_xlfn.XLOOKUP(orders!C458,customers!$A$2:$A$1001,customers!$B$2:$B$1001,,0)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_xlfn.XLOOKUP(orders!C459,customers!$A$2:$A$1001,customers!$B$2:$B$1001,,0)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_xlfn.XLOOKUP(orders!C460,customers!$A$2:$A$1001,customers!$B$2:$B$1001,,0)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_xlfn.XLOOKUP(orders!C461,customers!$A$2:$A$1001,customers!$B$2:$B$1001,,0)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_xlfn.XLOOKUP(orders!C462,customers!$A$2:$A$1001,customers!$B$2:$B$1001,,0)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_xlfn.XLOOKUP(orders!C463,customers!$A$2:$A$1001,customers!$B$2:$B$1001,,0)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_xlfn.XLOOKUP(orders!C464,customers!$A$2:$A$1001,customers!$B$2:$B$1001,,0)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_xlfn.XLOOKUP(orders!C465,customers!$A$2:$A$1001,customers!$B$2:$B$1001,,0)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_xlfn.XLOOKUP(orders!C466,customers!$A$2:$A$1001,customers!$B$2:$B$1001,,0)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_xlfn.XLOOKUP(orders!C467,customers!$A$2:$A$1001,customers!$B$2:$B$1001,,0)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_xlfn.XLOOKUP(orders!C468,customers!$A$2:$A$1001,customers!$B$2:$B$1001,,0)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_xlfn.XLOOKUP(orders!C469,customers!$A$2:$A$1001,customers!$B$2:$B$1001,,0)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_xlfn.XLOOKUP(orders!C470,customers!$A$2:$A$1001,customers!$B$2:$B$1001,,0)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_xlfn.XLOOKUP(orders!C471,customers!$A$2:$A$1001,customers!$B$2:$B$1001,,0)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_xlfn.XLOOKUP(orders!C472,customers!$A$2:$A$1001,customers!$B$2:$B$1001,,0)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_xlfn.XLOOKUP(orders!C473,customers!$A$2:$A$1001,customers!$B$2:$B$1001,,0)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_xlfn.XLOOKUP(orders!C474,customers!$A$2:$A$1001,customers!$B$2:$B$1001,,0)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_xlfn.XLOOKUP(orders!C475,customers!$A$2:$A$1001,customers!$B$2:$B$1001,,0)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_xlfn.XLOOKUP(orders!C476,customers!$A$2:$A$1001,customers!$B$2:$B$1001,,0)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_xlfn.XLOOKUP(orders!C477,customers!$A$2:$A$1001,customers!$B$2:$B$1001,,0)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_xlfn.XLOOKUP(orders!C478,customers!$A$2:$A$1001,customers!$B$2:$B$1001,,0)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_xlfn.XLOOKUP(orders!C479,customers!$A$2:$A$1001,customers!$B$2:$B$1001,,0)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_xlfn.XLOOKUP(orders!C480,customers!$A$2:$A$1001,customers!$B$2:$B$1001,,0)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_xlfn.XLOOKUP(orders!C481,customers!$A$2:$A$1001,customers!$B$2:$B$1001,,0)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_xlfn.XLOOKUP(orders!C482,customers!$A$2:$A$1001,customers!$B$2:$B$1001,,0)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_xlfn.XLOOKUP(orders!C483,customers!$A$2:$A$1001,customers!$B$2:$B$1001,,0)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_xlfn.XLOOKUP(orders!C484,customers!$A$2:$A$1001,customers!$B$2:$B$1001,,0)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_xlfn.XLOOKUP(orders!C485,customers!$A$2:$A$1001,customers!$B$2:$B$1001,,0)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_xlfn.XLOOKUP(orders!C486,customers!$A$2:$A$1001,customers!$B$2:$B$1001,,0)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_xlfn.XLOOKUP(orders!C487,customers!$A$2:$A$1001,customers!$B$2:$B$1001,,0)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_xlfn.XLOOKUP(orders!C488,customers!$A$2:$A$1001,customers!$B$2:$B$1001,,0)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_xlfn.XLOOKUP(orders!C489,customers!$A$2:$A$1001,customers!$B$2:$B$1001,,0)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_xlfn.XLOOKUP(orders!C490,customers!$A$2:$A$1001,customers!$B$2:$B$1001,,0)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_xlfn.XLOOKUP(orders!C491,customers!$A$2:$A$1001,customers!$B$2:$B$1001,,0)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_xlfn.XLOOKUP(orders!C492,customers!$A$2:$A$1001,customers!$B$2:$B$1001,,0)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_xlfn.XLOOKUP(orders!C493,customers!$A$2:$A$1001,customers!$B$2:$B$1001,,0)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_xlfn.XLOOKUP(orders!C494,customers!$A$2:$A$1001,customers!$B$2:$B$1001,,0)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_xlfn.XLOOKUP(orders!C495,customers!$A$2:$A$1001,customers!$B$2:$B$1001,,0)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_xlfn.XLOOKUP(orders!C496,customers!$A$2:$A$1001,customers!$B$2:$B$1001,,0)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_xlfn.XLOOKUP(orders!C497,customers!$A$2:$A$1001,customers!$B$2:$B$1001,,0)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_xlfn.XLOOKUP(orders!C498,customers!$A$2:$A$1001,customers!$B$2:$B$1001,,0)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_xlfn.XLOOKUP(orders!C499,customers!$A$2:$A$1001,customers!$B$2:$B$1001,,0)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_xlfn.XLOOKUP(orders!C500,customers!$A$2:$A$1001,customers!$B$2:$B$1001,,0)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_xlfn.XLOOKUP(orders!C501,customers!$A$2:$A$1001,customers!$B$2:$B$1001,,0)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_xlfn.XLOOKUP(orders!C502,customers!$A$2:$A$1001,customers!$B$2:$B$1001,,0)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_xlfn.XLOOKUP(orders!C503,customers!$A$2:$A$1001,customers!$B$2:$B$1001,,0)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_xlfn.XLOOKUP(orders!C504,customers!$A$2:$A$1001,customers!$B$2:$B$1001,,0)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_xlfn.XLOOKUP(orders!C505,customers!$A$2:$A$1001,customers!$B$2:$B$1001,,0)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_xlfn.XLOOKUP(orders!C506,customers!$A$2:$A$1001,customers!$B$2:$B$1001,,0)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_xlfn.XLOOKUP(orders!C507,customers!$A$2:$A$1001,customers!$B$2:$B$1001,,0)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_xlfn.XLOOKUP(orders!C508,customers!$A$2:$A$1001,customers!$B$2:$B$1001,,0)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_xlfn.XLOOKUP(orders!C509,customers!$A$2:$A$1001,customers!$B$2:$B$1001,,0)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_xlfn.XLOOKUP(orders!C510,customers!$A$2:$A$1001,customers!$B$2:$B$1001,,0)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_xlfn.XLOOKUP(orders!C511,customers!$A$2:$A$1001,customers!$B$2:$B$1001,,0)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_xlfn.XLOOKUP(orders!C512,customers!$A$2:$A$1001,customers!$B$2:$B$1001,,0)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_xlfn.XLOOKUP(orders!C513,customers!$A$2:$A$1001,customers!$B$2:$B$1001,,0)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_xlfn.XLOOKUP(orders!C514,customers!$A$2:$A$1001,customers!$B$2:$B$1001,,0)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_xlfn.XLOOKUP(orders!C515,customers!$A$2:$A$1001,customers!$B$2:$B$1001,,0)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_xlfn.XLOOKUP(orders!C516,customers!$A$2:$A$1001,customers!$B$2:$B$1001,,0)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_xlfn.XLOOKUP(orders!C517,customers!$A$2:$A$1001,customers!$B$2:$B$1001,,0)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_xlfn.XLOOKUP(orders!C518,customers!$A$2:$A$1001,customers!$B$2:$B$1001,,0)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_xlfn.XLOOKUP(orders!C519,customers!$A$2:$A$1001,customers!$B$2:$B$1001,,0)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_xlfn.XLOOKUP(orders!C520,customers!$A$2:$A$1001,customers!$B$2:$B$1001,,0)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_xlfn.XLOOKUP(orders!C521,customers!$A$2:$A$1001,customers!$B$2:$B$1001,,0)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_xlfn.XLOOKUP(orders!C522,customers!$A$2:$A$1001,customers!$B$2:$B$1001,,0)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_xlfn.XLOOKUP(orders!C523,customers!$A$2:$A$1001,customers!$B$2:$B$1001,,0)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_xlfn.XLOOKUP(orders!C524,customers!$A$2:$A$1001,customers!$B$2:$B$1001,,0)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_xlfn.XLOOKUP(orders!C525,customers!$A$2:$A$1001,customers!$B$2:$B$1001,,0)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_xlfn.XLOOKUP(orders!C526,customers!$A$2:$A$1001,customers!$B$2:$B$1001,,0)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_xlfn.XLOOKUP(orders!C527,customers!$A$2:$A$1001,customers!$B$2:$B$1001,,0)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_xlfn.XLOOKUP(orders!C528,customers!$A$2:$A$1001,customers!$B$2:$B$1001,,0)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_xlfn.XLOOKUP(orders!C529,customers!$A$2:$A$1001,customers!$B$2:$B$1001,,0)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_xlfn.XLOOKUP(orders!C530,customers!$A$2:$A$1001,customers!$B$2:$B$1001,,0)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_xlfn.XLOOKUP(orders!C531,customers!$A$2:$A$1001,customers!$B$2:$B$1001,,0)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_xlfn.XLOOKUP(orders!C532,customers!$A$2:$A$1001,customers!$B$2:$B$1001,,0)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_xlfn.XLOOKUP(orders!C533,customers!$A$2:$A$1001,customers!$B$2:$B$1001,,0)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_xlfn.XLOOKUP(orders!C534,customers!$A$2:$A$1001,customers!$B$2:$B$1001,,0)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_xlfn.XLOOKUP(orders!C535,customers!$A$2:$A$1001,customers!$B$2:$B$1001,,0)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_xlfn.XLOOKUP(orders!C536,customers!$A$2:$A$1001,customers!$B$2:$B$1001,,0)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_xlfn.XLOOKUP(orders!C537,customers!$A$2:$A$1001,customers!$B$2:$B$1001,,0)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_xlfn.XLOOKUP(orders!C538,customers!$A$2:$A$1001,customers!$B$2:$B$1001,,0)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_xlfn.XLOOKUP(orders!C539,customers!$A$2:$A$1001,customers!$B$2:$B$1001,,0)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_xlfn.XLOOKUP(orders!C540,customers!$A$2:$A$1001,customers!$B$2:$B$1001,,0)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_xlfn.XLOOKUP(orders!C541,customers!$A$2:$A$1001,customers!$B$2:$B$1001,,0)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_xlfn.XLOOKUP(orders!C542,customers!$A$2:$A$1001,customers!$B$2:$B$1001,,0)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_xlfn.XLOOKUP(orders!C543,customers!$A$2:$A$1001,customers!$B$2:$B$1001,,0)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_xlfn.XLOOKUP(orders!C544,customers!$A$2:$A$1001,customers!$B$2:$B$1001,,0)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_xlfn.XLOOKUP(orders!C545,customers!$A$2:$A$1001,customers!$B$2:$B$1001,,0)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_xlfn.XLOOKUP(orders!C546,customers!$A$2:$A$1001,customers!$B$2:$B$1001,,0)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_xlfn.XLOOKUP(orders!C547,customers!$A$2:$A$1001,customers!$B$2:$B$1001,,0)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_xlfn.XLOOKUP(orders!C548,customers!$A$2:$A$1001,customers!$B$2:$B$1001,,0)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_xlfn.XLOOKUP(orders!C549,customers!$A$2:$A$1001,customers!$B$2:$B$1001,,0)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_xlfn.XLOOKUP(orders!C550,customers!$A$2:$A$1001,customers!$B$2:$B$1001,,0)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_xlfn.XLOOKUP(orders!C551,customers!$A$2:$A$1001,customers!$B$2:$B$1001,,0)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_xlfn.XLOOKUP(orders!C552,customers!$A$2:$A$1001,customers!$B$2:$B$1001,,0)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_xlfn.XLOOKUP(orders!C553,customers!$A$2:$A$1001,customers!$B$2:$B$1001,,0)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_xlfn.XLOOKUP(orders!C554,customers!$A$2:$A$1001,customers!$B$2:$B$1001,,0)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_xlfn.XLOOKUP(orders!C555,customers!$A$2:$A$1001,customers!$B$2:$B$1001,,0)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_xlfn.XLOOKUP(orders!C556,customers!$A$2:$A$1001,customers!$B$2:$B$1001,,0)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_xlfn.XLOOKUP(orders!C557,customers!$A$2:$A$1001,customers!$B$2:$B$1001,,0)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_xlfn.XLOOKUP(orders!C558,customers!$A$2:$A$1001,customers!$B$2:$B$1001,,0)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_xlfn.XLOOKUP(orders!C559,customers!$A$2:$A$1001,customers!$B$2:$B$1001,,0)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_xlfn.XLOOKUP(orders!C560,customers!$A$2:$A$1001,customers!$B$2:$B$1001,,0)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_xlfn.XLOOKUP(orders!C561,customers!$A$2:$A$1001,customers!$B$2:$B$1001,,0)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_xlfn.XLOOKUP(orders!C562,customers!$A$2:$A$1001,customers!$B$2:$B$1001,,0)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_xlfn.XLOOKUP(orders!C563,customers!$A$2:$A$1001,customers!$B$2:$B$1001,,0)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_xlfn.XLOOKUP(orders!C564,customers!$A$2:$A$1001,customers!$B$2:$B$1001,,0)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_xlfn.XLOOKUP(orders!C565,customers!$A$2:$A$1001,customers!$B$2:$B$1001,,0)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_xlfn.XLOOKUP(orders!C566,customers!$A$2:$A$1001,customers!$B$2:$B$1001,,0)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_xlfn.XLOOKUP(orders!C567,customers!$A$2:$A$1001,customers!$B$2:$B$1001,,0)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_xlfn.XLOOKUP(orders!C568,customers!$A$2:$A$1001,customers!$B$2:$B$1001,,0)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_xlfn.XLOOKUP(orders!C569,customers!$A$2:$A$1001,customers!$B$2:$B$1001,,0)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_xlfn.XLOOKUP(orders!C570,customers!$A$2:$A$1001,customers!$B$2:$B$1001,,0)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_xlfn.XLOOKUP(orders!C571,customers!$A$2:$A$1001,customers!$B$2:$B$1001,,0)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_xlfn.XLOOKUP(orders!C572,customers!$A$2:$A$1001,customers!$B$2:$B$1001,,0)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_xlfn.XLOOKUP(orders!C573,customers!$A$2:$A$1001,customers!$B$2:$B$1001,,0)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_xlfn.XLOOKUP(orders!C574,customers!$A$2:$A$1001,customers!$B$2:$B$1001,,0)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_xlfn.XLOOKUP(orders!C575,customers!$A$2:$A$1001,customers!$B$2:$B$1001,,0)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_xlfn.XLOOKUP(orders!C576,customers!$A$2:$A$1001,customers!$B$2:$B$1001,,0)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_xlfn.XLOOKUP(orders!C577,customers!$A$2:$A$1001,customers!$B$2:$B$1001,,0)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_xlfn.XLOOKUP(orders!C578,customers!$A$2:$A$1001,customers!$B$2:$B$1001,,0)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_xlfn.XLOOKUP(orders!C579,customers!$A$2:$A$1001,customers!$B$2:$B$1001,,0)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_xlfn.XLOOKUP(orders!C580,customers!$A$2:$A$1001,customers!$B$2:$B$1001,,0)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_xlfn.XLOOKUP(orders!C581,customers!$A$2:$A$1001,customers!$B$2:$B$1001,,0)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_xlfn.XLOOKUP(orders!C582,customers!$A$2:$A$1001,customers!$B$2:$B$1001,,0)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_xlfn.XLOOKUP(orders!C583,customers!$A$2:$A$1001,customers!$B$2:$B$1001,,0)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_xlfn.XLOOKUP(orders!C584,customers!$A$2:$A$1001,customers!$B$2:$B$1001,,0)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_xlfn.XLOOKUP(orders!C585,customers!$A$2:$A$1001,customers!$B$2:$B$1001,,0)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_xlfn.XLOOKUP(orders!C586,customers!$A$2:$A$1001,customers!$B$2:$B$1001,,0)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_xlfn.XLOOKUP(orders!C587,customers!$A$2:$A$1001,customers!$B$2:$B$1001,,0)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_xlfn.XLOOKUP(orders!C588,customers!$A$2:$A$1001,customers!$B$2:$B$1001,,0)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_xlfn.XLOOKUP(orders!C589,customers!$A$2:$A$1001,customers!$B$2:$B$1001,,0)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_xlfn.XLOOKUP(orders!C590,customers!$A$2:$A$1001,customers!$B$2:$B$1001,,0)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_xlfn.XLOOKUP(orders!C591,customers!$A$2:$A$1001,customers!$B$2:$B$1001,,0)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_xlfn.XLOOKUP(orders!C592,customers!$A$2:$A$1001,customers!$B$2:$B$1001,,0)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_xlfn.XLOOKUP(orders!C593,customers!$A$2:$A$1001,customers!$B$2:$B$1001,,0)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_xlfn.XLOOKUP(orders!C594,customers!$A$2:$A$1001,customers!$B$2:$B$1001,,0)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_xlfn.XLOOKUP(orders!C595,customers!$A$2:$A$1001,customers!$B$2:$B$1001,,0)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_xlfn.XLOOKUP(orders!C596,customers!$A$2:$A$1001,customers!$B$2:$B$1001,,0)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_xlfn.XLOOKUP(orders!C597,customers!$A$2:$A$1001,customers!$B$2:$B$1001,,0)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_xlfn.XLOOKUP(orders!C598,customers!$A$2:$A$1001,customers!$B$2:$B$1001,,0)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_xlfn.XLOOKUP(orders!C599,customers!$A$2:$A$1001,customers!$B$2:$B$1001,,0)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_xlfn.XLOOKUP(orders!C600,customers!$A$2:$A$1001,customers!$B$2:$B$1001,,0)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_xlfn.XLOOKUP(orders!C601,customers!$A$2:$A$1001,customers!$B$2:$B$1001,,0)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_xlfn.XLOOKUP(orders!C602,customers!$A$2:$A$1001,customers!$B$2:$B$1001,,0)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_xlfn.XLOOKUP(orders!C603,customers!$A$2:$A$1001,customers!$B$2:$B$1001,,0)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_xlfn.XLOOKUP(orders!C604,customers!$A$2:$A$1001,customers!$B$2:$B$1001,,0)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_xlfn.XLOOKUP(orders!C605,customers!$A$2:$A$1001,customers!$B$2:$B$1001,,0)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_xlfn.XLOOKUP(orders!C606,customers!$A$2:$A$1001,customers!$B$2:$B$1001,,0)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_xlfn.XLOOKUP(orders!C607,customers!$A$2:$A$1001,customers!$B$2:$B$1001,,0)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_xlfn.XLOOKUP(orders!C608,customers!$A$2:$A$1001,customers!$B$2:$B$1001,,0)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_xlfn.XLOOKUP(orders!C609,customers!$A$2:$A$1001,customers!$B$2:$B$1001,,0)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_xlfn.XLOOKUP(orders!C610,customers!$A$2:$A$1001,customers!$B$2:$B$1001,,0)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_xlfn.XLOOKUP(orders!C611,customers!$A$2:$A$1001,customers!$B$2:$B$1001,,0)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_xlfn.XLOOKUP(orders!C612,customers!$A$2:$A$1001,customers!$B$2:$B$1001,,0)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_xlfn.XLOOKUP(orders!C613,customers!$A$2:$A$1001,customers!$B$2:$B$1001,,0)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_xlfn.XLOOKUP(orders!C614,customers!$A$2:$A$1001,customers!$B$2:$B$1001,,0)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_xlfn.XLOOKUP(orders!C615,customers!$A$2:$A$1001,customers!$B$2:$B$1001,,0)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_xlfn.XLOOKUP(orders!C616,customers!$A$2:$A$1001,customers!$B$2:$B$1001,,0)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_xlfn.XLOOKUP(orders!C617,customers!$A$2:$A$1001,customers!$B$2:$B$1001,,0)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_xlfn.XLOOKUP(orders!C618,customers!$A$2:$A$1001,customers!$B$2:$B$1001,,0)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_xlfn.XLOOKUP(orders!C619,customers!$A$2:$A$1001,customers!$B$2:$B$1001,,0)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_xlfn.XLOOKUP(orders!C620,customers!$A$2:$A$1001,customers!$B$2:$B$1001,,0)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_xlfn.XLOOKUP(orders!C621,customers!$A$2:$A$1001,customers!$B$2:$B$1001,,0)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_xlfn.XLOOKUP(orders!C622,customers!$A$2:$A$1001,customers!$B$2:$B$1001,,0)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_xlfn.XLOOKUP(orders!C623,customers!$A$2:$A$1001,customers!$B$2:$B$1001,,0)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_xlfn.XLOOKUP(orders!C624,customers!$A$2:$A$1001,customers!$B$2:$B$1001,,0)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_xlfn.XLOOKUP(orders!C625,customers!$A$2:$A$1001,customers!$B$2:$B$1001,,0)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_xlfn.XLOOKUP(orders!C626,customers!$A$2:$A$1001,customers!$B$2:$B$1001,,0)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_xlfn.XLOOKUP(orders!C627,customers!$A$2:$A$1001,customers!$B$2:$B$1001,,0)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_xlfn.XLOOKUP(orders!C628,customers!$A$2:$A$1001,customers!$B$2:$B$1001,,0)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_xlfn.XLOOKUP(orders!C629,customers!$A$2:$A$1001,customers!$B$2:$B$1001,,0)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_xlfn.XLOOKUP(orders!C630,customers!$A$2:$A$1001,customers!$B$2:$B$1001,,0)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_xlfn.XLOOKUP(orders!C631,customers!$A$2:$A$1001,customers!$B$2:$B$1001,,0)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_xlfn.XLOOKUP(orders!C632,customers!$A$2:$A$1001,customers!$B$2:$B$1001,,0)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_xlfn.XLOOKUP(orders!C633,customers!$A$2:$A$1001,customers!$B$2:$B$1001,,0)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_xlfn.XLOOKUP(orders!C634,customers!$A$2:$A$1001,customers!$B$2:$B$1001,,0)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_xlfn.XLOOKUP(orders!C635,customers!$A$2:$A$1001,customers!$B$2:$B$1001,,0)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_xlfn.XLOOKUP(orders!C636,customers!$A$2:$A$1001,customers!$B$2:$B$1001,,0)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_xlfn.XLOOKUP(orders!C637,customers!$A$2:$A$1001,customers!$B$2:$B$1001,,0)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_xlfn.XLOOKUP(orders!C638,customers!$A$2:$A$1001,customers!$B$2:$B$1001,,0)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_xlfn.XLOOKUP(orders!C639,customers!$A$2:$A$1001,customers!$B$2:$B$1001,,0)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_xlfn.XLOOKUP(orders!C640,customers!$A$2:$A$1001,customers!$B$2:$B$1001,,0)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_xlfn.XLOOKUP(orders!C641,customers!$A$2:$A$1001,customers!$B$2:$B$1001,,0)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_xlfn.XLOOKUP(orders!C642,customers!$A$2:$A$1001,customers!$B$2:$B$1001,,0)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_xlfn.XLOOKUP(orders!C643,customers!$A$2:$A$1001,customers!$B$2:$B$1001,,0)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_xlfn.XLOOKUP(orders!C644,customers!$A$2:$A$1001,customers!$B$2:$B$1001,,0)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_xlfn.XLOOKUP(orders!C645,customers!$A$2:$A$1001,customers!$B$2:$B$1001,,0)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_xlfn.XLOOKUP(orders!C646,customers!$A$2:$A$1001,customers!$B$2:$B$1001,,0)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_xlfn.XLOOKUP(orders!C647,customers!$A$2:$A$1001,customers!$B$2:$B$1001,,0)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_xlfn.XLOOKUP(orders!C648,customers!$A$2:$A$1001,customers!$B$2:$B$1001,,0)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_xlfn.XLOOKUP(orders!C649,customers!$A$2:$A$1001,customers!$B$2:$B$1001,,0)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_xlfn.XLOOKUP(orders!C650,customers!$A$2:$A$1001,customers!$B$2:$B$1001,,0)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_xlfn.XLOOKUP(orders!C651,customers!$A$2:$A$1001,customers!$B$2:$B$1001,,0)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_xlfn.XLOOKUP(orders!C652,customers!$A$2:$A$1001,customers!$B$2:$B$1001,,0)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_xlfn.XLOOKUP(orders!C653,customers!$A$2:$A$1001,customers!$B$2:$B$1001,,0)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_xlfn.XLOOKUP(orders!C654,customers!$A$2:$A$1001,customers!$B$2:$B$1001,,0)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_xlfn.XLOOKUP(orders!C655,customers!$A$2:$A$1001,customers!$B$2:$B$1001,,0)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_xlfn.XLOOKUP(orders!C656,customers!$A$2:$A$1001,customers!$B$2:$B$1001,,0)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_xlfn.XLOOKUP(orders!C657,customers!$A$2:$A$1001,customers!$B$2:$B$1001,,0)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_xlfn.XLOOKUP(orders!C658,customers!$A$2:$A$1001,customers!$B$2:$B$1001,,0)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_xlfn.XLOOKUP(orders!C659,customers!$A$2:$A$1001,customers!$B$2:$B$1001,,0)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_xlfn.XLOOKUP(orders!C660,customers!$A$2:$A$1001,customers!$B$2:$B$1001,,0)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_xlfn.XLOOKUP(orders!C661,customers!$A$2:$A$1001,customers!$B$2:$B$1001,,0)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_xlfn.XLOOKUP(orders!C662,customers!$A$2:$A$1001,customers!$B$2:$B$1001,,0)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_xlfn.XLOOKUP(orders!C663,customers!$A$2:$A$1001,customers!$B$2:$B$1001,,0)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_xlfn.XLOOKUP(orders!C664,customers!$A$2:$A$1001,customers!$B$2:$B$1001,,0)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_xlfn.XLOOKUP(orders!C665,customers!$A$2:$A$1001,customers!$B$2:$B$1001,,0)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_xlfn.XLOOKUP(orders!C666,customers!$A$2:$A$1001,customers!$B$2:$B$1001,,0)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_xlfn.XLOOKUP(orders!C667,customers!$A$2:$A$1001,customers!$B$2:$B$1001,,0)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_xlfn.XLOOKUP(orders!C668,customers!$A$2:$A$1001,customers!$B$2:$B$1001,,0)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_xlfn.XLOOKUP(orders!C669,customers!$A$2:$A$1001,customers!$B$2:$B$1001,,0)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_xlfn.XLOOKUP(orders!C670,customers!$A$2:$A$1001,customers!$B$2:$B$1001,,0)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_xlfn.XLOOKUP(orders!C671,customers!$A$2:$A$1001,customers!$B$2:$B$1001,,0)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_xlfn.XLOOKUP(orders!C672,customers!$A$2:$A$1001,customers!$B$2:$B$1001,,0)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_xlfn.XLOOKUP(orders!C673,customers!$A$2:$A$1001,customers!$B$2:$B$1001,,0)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_xlfn.XLOOKUP(orders!C674,customers!$A$2:$A$1001,customers!$B$2:$B$1001,,0)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_xlfn.XLOOKUP(orders!C675,customers!$A$2:$A$1001,customers!$B$2:$B$1001,,0)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_xlfn.XLOOKUP(orders!C676,customers!$A$2:$A$1001,customers!$B$2:$B$1001,,0)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_xlfn.XLOOKUP(orders!C677,customers!$A$2:$A$1001,customers!$B$2:$B$1001,,0)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_xlfn.XLOOKUP(orders!C678,customers!$A$2:$A$1001,customers!$B$2:$B$1001,,0)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_xlfn.XLOOKUP(orders!C679,customers!$A$2:$A$1001,customers!$B$2:$B$1001,,0)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_xlfn.XLOOKUP(orders!C680,customers!$A$2:$A$1001,customers!$B$2:$B$1001,,0)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_xlfn.XLOOKUP(orders!C681,customers!$A$2:$A$1001,customers!$B$2:$B$1001,,0)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_xlfn.XLOOKUP(orders!C682,customers!$A$2:$A$1001,customers!$B$2:$B$1001,,0)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_xlfn.XLOOKUP(orders!C683,customers!$A$2:$A$1001,customers!$B$2:$B$1001,,0)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_xlfn.XLOOKUP(orders!C684,customers!$A$2:$A$1001,customers!$B$2:$B$1001,,0)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_xlfn.XLOOKUP(orders!C685,customers!$A$2:$A$1001,customers!$B$2:$B$1001,,0)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_xlfn.XLOOKUP(orders!C686,customers!$A$2:$A$1001,customers!$B$2:$B$1001,,0)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_xlfn.XLOOKUP(orders!C687,customers!$A$2:$A$1001,customers!$B$2:$B$1001,,0)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_xlfn.XLOOKUP(orders!C688,customers!$A$2:$A$1001,customers!$B$2:$B$1001,,0)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_xlfn.XLOOKUP(orders!C689,customers!$A$2:$A$1001,customers!$B$2:$B$1001,,0)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_xlfn.XLOOKUP(orders!C690,customers!$A$2:$A$1001,customers!$B$2:$B$1001,,0)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_xlfn.XLOOKUP(orders!C691,customers!$A$2:$A$1001,customers!$B$2:$B$1001,,0)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_xlfn.XLOOKUP(orders!C692,customers!$A$2:$A$1001,customers!$B$2:$B$1001,,0)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_xlfn.XLOOKUP(orders!C693,customers!$A$2:$A$1001,customers!$B$2:$B$1001,,0)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_xlfn.XLOOKUP(orders!C694,customers!$A$2:$A$1001,customers!$B$2:$B$1001,,0)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_xlfn.XLOOKUP(orders!C695,customers!$A$2:$A$1001,customers!$B$2:$B$1001,,0)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_xlfn.XLOOKUP(orders!C696,customers!$A$2:$A$1001,customers!$B$2:$B$1001,,0)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_xlfn.XLOOKUP(orders!C697,customers!$A$2:$A$1001,customers!$B$2:$B$1001,,0)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_xlfn.XLOOKUP(orders!C698,customers!$A$2:$A$1001,customers!$B$2:$B$1001,,0)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_xlfn.XLOOKUP(orders!C699,customers!$A$2:$A$1001,customers!$B$2:$B$1001,,0)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_xlfn.XLOOKUP(orders!C700,customers!$A$2:$A$1001,customers!$B$2:$B$1001,,0)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_xlfn.XLOOKUP(orders!C701,customers!$A$2:$A$1001,customers!$B$2:$B$1001,,0)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_xlfn.XLOOKUP(orders!C702,customers!$A$2:$A$1001,customers!$B$2:$B$1001,,0)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_xlfn.XLOOKUP(orders!C703,customers!$A$2:$A$1001,customers!$B$2:$B$1001,,0)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_xlfn.XLOOKUP(orders!C704,customers!$A$2:$A$1001,customers!$B$2:$B$1001,,0)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_xlfn.XLOOKUP(orders!C705,customers!$A$2:$A$1001,customers!$B$2:$B$1001,,0)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_xlfn.XLOOKUP(orders!C706,customers!$A$2:$A$1001,customers!$B$2:$B$1001,,0)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_xlfn.XLOOKUP(orders!C707,customers!$A$2:$A$1001,customers!$B$2:$B$1001,,0)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_xlfn.XLOOKUP(orders!C708,customers!$A$2:$A$1001,customers!$B$2:$B$1001,,0)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_xlfn.XLOOKUP(orders!C709,customers!$A$2:$A$1001,customers!$B$2:$B$1001,,0)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_xlfn.XLOOKUP(orders!C710,customers!$A$2:$A$1001,customers!$B$2:$B$1001,,0)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_xlfn.XLOOKUP(orders!C711,customers!$A$2:$A$1001,customers!$B$2:$B$1001,,0)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_xlfn.XLOOKUP(orders!C712,customers!$A$2:$A$1001,customers!$B$2:$B$1001,,0)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_xlfn.XLOOKUP(orders!C713,customers!$A$2:$A$1001,customers!$B$2:$B$1001,,0)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_xlfn.XLOOKUP(orders!C714,customers!$A$2:$A$1001,customers!$B$2:$B$1001,,0)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_xlfn.XLOOKUP(orders!C715,customers!$A$2:$A$1001,customers!$B$2:$B$1001,,0)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_xlfn.XLOOKUP(orders!C716,customers!$A$2:$A$1001,customers!$B$2:$B$1001,,0)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_xlfn.XLOOKUP(orders!C717,customers!$A$2:$A$1001,customers!$B$2:$B$1001,,0)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_xlfn.XLOOKUP(orders!C718,customers!$A$2:$A$1001,customers!$B$2:$B$1001,,0)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_xlfn.XLOOKUP(orders!C719,customers!$A$2:$A$1001,customers!$B$2:$B$1001,,0)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_xlfn.XLOOKUP(orders!C720,customers!$A$2:$A$1001,customers!$B$2:$B$1001,,0)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_xlfn.XLOOKUP(orders!C721,customers!$A$2:$A$1001,customers!$B$2:$B$1001,,0)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_xlfn.XLOOKUP(orders!C722,customers!$A$2:$A$1001,customers!$B$2:$B$1001,,0)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_xlfn.XLOOKUP(orders!C723,customers!$A$2:$A$1001,customers!$B$2:$B$1001,,0)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_xlfn.XLOOKUP(orders!C724,customers!$A$2:$A$1001,customers!$B$2:$B$1001,,0)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_xlfn.XLOOKUP(orders!C725,customers!$A$2:$A$1001,customers!$B$2:$B$1001,,0)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_xlfn.XLOOKUP(orders!C726,customers!$A$2:$A$1001,customers!$B$2:$B$1001,,0)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_xlfn.XLOOKUP(orders!C727,customers!$A$2:$A$1001,customers!$B$2:$B$1001,,0)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_xlfn.XLOOKUP(orders!C728,customers!$A$2:$A$1001,customers!$B$2:$B$1001,,0)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_xlfn.XLOOKUP(orders!C729,customers!$A$2:$A$1001,customers!$B$2:$B$1001,,0)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_xlfn.XLOOKUP(orders!C730,customers!$A$2:$A$1001,customers!$B$2:$B$1001,,0)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_xlfn.XLOOKUP(orders!C731,customers!$A$2:$A$1001,customers!$B$2:$B$1001,,0)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_xlfn.XLOOKUP(orders!C732,customers!$A$2:$A$1001,customers!$B$2:$B$1001,,0)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_xlfn.XLOOKUP(orders!C733,customers!$A$2:$A$1001,customers!$B$2:$B$1001,,0)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_xlfn.XLOOKUP(orders!C734,customers!$A$2:$A$1001,customers!$B$2:$B$1001,,0)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_xlfn.XLOOKUP(orders!C735,customers!$A$2:$A$1001,customers!$B$2:$B$1001,,0)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_xlfn.XLOOKUP(orders!C736,customers!$A$2:$A$1001,customers!$B$2:$B$1001,,0)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_xlfn.XLOOKUP(orders!C737,customers!$A$2:$A$1001,customers!$B$2:$B$1001,,0)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_xlfn.XLOOKUP(orders!C738,customers!$A$2:$A$1001,customers!$B$2:$B$1001,,0)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_xlfn.XLOOKUP(orders!C739,customers!$A$2:$A$1001,customers!$B$2:$B$1001,,0)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_xlfn.XLOOKUP(orders!C740,customers!$A$2:$A$1001,customers!$B$2:$B$1001,,0)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_xlfn.XLOOKUP(orders!C741,customers!$A$2:$A$1001,customers!$B$2:$B$1001,,0)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_xlfn.XLOOKUP(orders!C742,customers!$A$2:$A$1001,customers!$B$2:$B$1001,,0)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_xlfn.XLOOKUP(orders!C743,customers!$A$2:$A$1001,customers!$B$2:$B$1001,,0)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_xlfn.XLOOKUP(orders!C744,customers!$A$2:$A$1001,customers!$B$2:$B$1001,,0)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_xlfn.XLOOKUP(orders!C745,customers!$A$2:$A$1001,customers!$B$2:$B$1001,,0)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_xlfn.XLOOKUP(orders!C746,customers!$A$2:$A$1001,customers!$B$2:$B$1001,,0)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_xlfn.XLOOKUP(orders!C747,customers!$A$2:$A$1001,customers!$B$2:$B$1001,,0)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_xlfn.XLOOKUP(orders!C748,customers!$A$2:$A$1001,customers!$B$2:$B$1001,,0)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_xlfn.XLOOKUP(orders!C749,customers!$A$2:$A$1001,customers!$B$2:$B$1001,,0)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_xlfn.XLOOKUP(orders!C750,customers!$A$2:$A$1001,customers!$B$2:$B$1001,,0)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_xlfn.XLOOKUP(orders!C751,customers!$A$2:$A$1001,customers!$B$2:$B$1001,,0)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_xlfn.XLOOKUP(orders!C752,customers!$A$2:$A$1001,customers!$B$2:$B$1001,,0)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_xlfn.XLOOKUP(orders!C753,customers!$A$2:$A$1001,customers!$B$2:$B$1001,,0)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_xlfn.XLOOKUP(orders!C754,customers!$A$2:$A$1001,customers!$B$2:$B$1001,,0)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_xlfn.XLOOKUP(orders!C755,customers!$A$2:$A$1001,customers!$B$2:$B$1001,,0)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_xlfn.XLOOKUP(orders!C756,customers!$A$2:$A$1001,customers!$B$2:$B$1001,,0)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_xlfn.XLOOKUP(orders!C757,customers!$A$2:$A$1001,customers!$B$2:$B$1001,,0)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_xlfn.XLOOKUP(orders!C758,customers!$A$2:$A$1001,customers!$B$2:$B$1001,,0)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_xlfn.XLOOKUP(orders!C759,customers!$A$2:$A$1001,customers!$B$2:$B$1001,,0)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_xlfn.XLOOKUP(orders!C760,customers!$A$2:$A$1001,customers!$B$2:$B$1001,,0)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_xlfn.XLOOKUP(orders!C761,customers!$A$2:$A$1001,customers!$B$2:$B$1001,,0)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_xlfn.XLOOKUP(orders!C762,customers!$A$2:$A$1001,customers!$B$2:$B$1001,,0)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_xlfn.XLOOKUP(orders!C763,customers!$A$2:$A$1001,customers!$B$2:$B$1001,,0)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_xlfn.XLOOKUP(orders!C764,customers!$A$2:$A$1001,customers!$B$2:$B$1001,,0)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_xlfn.XLOOKUP(orders!C765,customers!$A$2:$A$1001,customers!$B$2:$B$1001,,0)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_xlfn.XLOOKUP(orders!C766,customers!$A$2:$A$1001,customers!$B$2:$B$1001,,0)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_xlfn.XLOOKUP(orders!C767,customers!$A$2:$A$1001,customers!$B$2:$B$1001,,0)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_xlfn.XLOOKUP(orders!C768,customers!$A$2:$A$1001,customers!$B$2:$B$1001,,0)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_xlfn.XLOOKUP(orders!C769,customers!$A$2:$A$1001,customers!$B$2:$B$1001,,0)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_xlfn.XLOOKUP(orders!C770,customers!$A$2:$A$1001,customers!$B$2:$B$1001,,0)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_xlfn.XLOOKUP(orders!C771,customers!$A$2:$A$1001,customers!$B$2:$B$1001,,0)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_xlfn.XLOOKUP(orders!C772,customers!$A$2:$A$1001,customers!$B$2:$B$1001,,0)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_xlfn.XLOOKUP(orders!C773,customers!$A$2:$A$1001,customers!$B$2:$B$1001,,0)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_xlfn.XLOOKUP(orders!C774,customers!$A$2:$A$1001,customers!$B$2:$B$1001,,0)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_xlfn.XLOOKUP(orders!C775,customers!$A$2:$A$1001,customers!$B$2:$B$1001,,0)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_xlfn.XLOOKUP(orders!C776,customers!$A$2:$A$1001,customers!$B$2:$B$1001,,0)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_xlfn.XLOOKUP(orders!C777,customers!$A$2:$A$1001,customers!$B$2:$B$1001,,0)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_xlfn.XLOOKUP(orders!C778,customers!$A$2:$A$1001,customers!$B$2:$B$1001,,0)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_xlfn.XLOOKUP(orders!C779,customers!$A$2:$A$1001,customers!$B$2:$B$1001,,0)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_xlfn.XLOOKUP(orders!C780,customers!$A$2:$A$1001,customers!$B$2:$B$1001,,0)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_xlfn.XLOOKUP(orders!C781,customers!$A$2:$A$1001,customers!$B$2:$B$1001,,0)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_xlfn.XLOOKUP(orders!C782,customers!$A$2:$A$1001,customers!$B$2:$B$1001,,0)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_xlfn.XLOOKUP(orders!C783,customers!$A$2:$A$1001,customers!$B$2:$B$1001,,0)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_xlfn.XLOOKUP(orders!C784,customers!$A$2:$A$1001,customers!$B$2:$B$1001,,0)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_xlfn.XLOOKUP(orders!C785,customers!$A$2:$A$1001,customers!$B$2:$B$1001,,0)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_xlfn.XLOOKUP(orders!C786,customers!$A$2:$A$1001,customers!$B$2:$B$1001,,0)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_xlfn.XLOOKUP(orders!C787,customers!$A$2:$A$1001,customers!$B$2:$B$1001,,0)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_xlfn.XLOOKUP(orders!C788,customers!$A$2:$A$1001,customers!$B$2:$B$1001,,0)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_xlfn.XLOOKUP(orders!C789,customers!$A$2:$A$1001,customers!$B$2:$B$1001,,0)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_xlfn.XLOOKUP(orders!C790,customers!$A$2:$A$1001,customers!$B$2:$B$1001,,0)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_xlfn.XLOOKUP(orders!C791,customers!$A$2:$A$1001,customers!$B$2:$B$1001,,0)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_xlfn.XLOOKUP(orders!C792,customers!$A$2:$A$1001,customers!$B$2:$B$1001,,0)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_xlfn.XLOOKUP(orders!C793,customers!$A$2:$A$1001,customers!$B$2:$B$1001,,0)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_xlfn.XLOOKUP(orders!C794,customers!$A$2:$A$1001,customers!$B$2:$B$1001,,0)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_xlfn.XLOOKUP(orders!C795,customers!$A$2:$A$1001,customers!$B$2:$B$1001,,0)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_xlfn.XLOOKUP(orders!C796,customers!$A$2:$A$1001,customers!$B$2:$B$1001,,0)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_xlfn.XLOOKUP(orders!C797,customers!$A$2:$A$1001,customers!$B$2:$B$1001,,0)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_xlfn.XLOOKUP(orders!C798,customers!$A$2:$A$1001,customers!$B$2:$B$1001,,0)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_xlfn.XLOOKUP(orders!C799,customers!$A$2:$A$1001,customers!$B$2:$B$1001,,0)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_xlfn.XLOOKUP(orders!C800,customers!$A$2:$A$1001,customers!$B$2:$B$1001,,0)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_xlfn.XLOOKUP(orders!C801,customers!$A$2:$A$1001,customers!$B$2:$B$1001,,0)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_xlfn.XLOOKUP(orders!C802,customers!$A$2:$A$1001,customers!$B$2:$B$1001,,0)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_xlfn.XLOOKUP(orders!C803,customers!$A$2:$A$1001,customers!$B$2:$B$1001,,0)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_xlfn.XLOOKUP(orders!C804,customers!$A$2:$A$1001,customers!$B$2:$B$1001,,0)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_xlfn.XLOOKUP(orders!C805,customers!$A$2:$A$1001,customers!$B$2:$B$1001,,0)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_xlfn.XLOOKUP(orders!C806,customers!$A$2:$A$1001,customers!$B$2:$B$1001,,0)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_xlfn.XLOOKUP(orders!C807,customers!$A$2:$A$1001,customers!$B$2:$B$1001,,0)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_xlfn.XLOOKUP(orders!C808,customers!$A$2:$A$1001,customers!$B$2:$B$1001,,0)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_xlfn.XLOOKUP(orders!C809,customers!$A$2:$A$1001,customers!$B$2:$B$1001,,0)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_xlfn.XLOOKUP(orders!C810,customers!$A$2:$A$1001,customers!$B$2:$B$1001,,0)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_xlfn.XLOOKUP(orders!C811,customers!$A$2:$A$1001,customers!$B$2:$B$1001,,0)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_xlfn.XLOOKUP(orders!C812,customers!$A$2:$A$1001,customers!$B$2:$B$1001,,0)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_xlfn.XLOOKUP(orders!C813,customers!$A$2:$A$1001,customers!$B$2:$B$1001,,0)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_xlfn.XLOOKUP(orders!C814,customers!$A$2:$A$1001,customers!$B$2:$B$1001,,0)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_xlfn.XLOOKUP(orders!C815,customers!$A$2:$A$1001,customers!$B$2:$B$1001,,0)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_xlfn.XLOOKUP(orders!C816,customers!$A$2:$A$1001,customers!$B$2:$B$1001,,0)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_xlfn.XLOOKUP(orders!C817,customers!$A$2:$A$1001,customers!$B$2:$B$1001,,0)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_xlfn.XLOOKUP(orders!C818,customers!$A$2:$A$1001,customers!$B$2:$B$1001,,0)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_xlfn.XLOOKUP(orders!C819,customers!$A$2:$A$1001,customers!$B$2:$B$1001,,0)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_xlfn.XLOOKUP(orders!C820,customers!$A$2:$A$1001,customers!$B$2:$B$1001,,0)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_xlfn.XLOOKUP(orders!C821,customers!$A$2:$A$1001,customers!$B$2:$B$1001,,0)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_xlfn.XLOOKUP(orders!C822,customers!$A$2:$A$1001,customers!$B$2:$B$1001,,0)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_xlfn.XLOOKUP(orders!C823,customers!$A$2:$A$1001,customers!$B$2:$B$1001,,0)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_xlfn.XLOOKUP(orders!C824,customers!$A$2:$A$1001,customers!$B$2:$B$1001,,0)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_xlfn.XLOOKUP(orders!C825,customers!$A$2:$A$1001,customers!$B$2:$B$1001,,0)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_xlfn.XLOOKUP(orders!C826,customers!$A$2:$A$1001,customers!$B$2:$B$1001,,0)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_xlfn.XLOOKUP(orders!C827,customers!$A$2:$A$1001,customers!$B$2:$B$1001,,0)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_xlfn.XLOOKUP(orders!C828,customers!$A$2:$A$1001,customers!$B$2:$B$1001,,0)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_xlfn.XLOOKUP(orders!C829,customers!$A$2:$A$1001,customers!$B$2:$B$1001,,0)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_xlfn.XLOOKUP(orders!C830,customers!$A$2:$A$1001,customers!$B$2:$B$1001,,0)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_xlfn.XLOOKUP(orders!C831,customers!$A$2:$A$1001,customers!$B$2:$B$1001,,0)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_xlfn.XLOOKUP(orders!C832,customers!$A$2:$A$1001,customers!$B$2:$B$1001,,0)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_xlfn.XLOOKUP(orders!C833,customers!$A$2:$A$1001,customers!$B$2:$B$1001,,0)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_xlfn.XLOOKUP(orders!C834,customers!$A$2:$A$1001,customers!$B$2:$B$1001,,0)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_xlfn.XLOOKUP(orders!C835,customers!$A$2:$A$1001,customers!$B$2:$B$1001,,0)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_xlfn.XLOOKUP(orders!C836,customers!$A$2:$A$1001,customers!$B$2:$B$1001,,0)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_xlfn.XLOOKUP(orders!C837,customers!$A$2:$A$1001,customers!$B$2:$B$1001,,0)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_xlfn.XLOOKUP(orders!C838,customers!$A$2:$A$1001,customers!$B$2:$B$1001,,0)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_xlfn.XLOOKUP(orders!C839,customers!$A$2:$A$1001,customers!$B$2:$B$1001,,0)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_xlfn.XLOOKUP(orders!C840,customers!$A$2:$A$1001,customers!$B$2:$B$1001,,0)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_xlfn.XLOOKUP(orders!C841,customers!$A$2:$A$1001,customers!$B$2:$B$1001,,0)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_xlfn.XLOOKUP(orders!C842,customers!$A$2:$A$1001,customers!$B$2:$B$1001,,0)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_xlfn.XLOOKUP(orders!C843,customers!$A$2:$A$1001,customers!$B$2:$B$1001,,0)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_xlfn.XLOOKUP(orders!C844,customers!$A$2:$A$1001,customers!$B$2:$B$1001,,0)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_xlfn.XLOOKUP(orders!C845,customers!$A$2:$A$1001,customers!$B$2:$B$1001,,0)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_xlfn.XLOOKUP(orders!C846,customers!$A$2:$A$1001,customers!$B$2:$B$1001,,0)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_xlfn.XLOOKUP(orders!C847,customers!$A$2:$A$1001,customers!$B$2:$B$1001,,0)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_xlfn.XLOOKUP(orders!C848,customers!$A$2:$A$1001,customers!$B$2:$B$1001,,0)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_xlfn.XLOOKUP(orders!C849,customers!$A$2:$A$1001,customers!$B$2:$B$1001,,0)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_xlfn.XLOOKUP(orders!C850,customers!$A$2:$A$1001,customers!$B$2:$B$1001,,0)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_xlfn.XLOOKUP(orders!C851,customers!$A$2:$A$1001,customers!$B$2:$B$1001,,0)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_xlfn.XLOOKUP(orders!C852,customers!$A$2:$A$1001,customers!$B$2:$B$1001,,0)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_xlfn.XLOOKUP(orders!C853,customers!$A$2:$A$1001,customers!$B$2:$B$1001,,0)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_xlfn.XLOOKUP(orders!C854,customers!$A$2:$A$1001,customers!$B$2:$B$1001,,0)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_xlfn.XLOOKUP(orders!C855,customers!$A$2:$A$1001,customers!$B$2:$B$1001,,0)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_xlfn.XLOOKUP(orders!C856,customers!$A$2:$A$1001,customers!$B$2:$B$1001,,0)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_xlfn.XLOOKUP(orders!C857,customers!$A$2:$A$1001,customers!$B$2:$B$1001,,0)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_xlfn.XLOOKUP(orders!C858,customers!$A$2:$A$1001,customers!$B$2:$B$1001,,0)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_xlfn.XLOOKUP(orders!C859,customers!$A$2:$A$1001,customers!$B$2:$B$1001,,0)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_xlfn.XLOOKUP(orders!C860,customers!$A$2:$A$1001,customers!$B$2:$B$1001,,0)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_xlfn.XLOOKUP(orders!C861,customers!$A$2:$A$1001,customers!$B$2:$B$1001,,0)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_xlfn.XLOOKUP(orders!C862,customers!$A$2:$A$1001,customers!$B$2:$B$1001,,0)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_xlfn.XLOOKUP(orders!C863,customers!$A$2:$A$1001,customers!$B$2:$B$1001,,0)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_xlfn.XLOOKUP(orders!C864,customers!$A$2:$A$1001,customers!$B$2:$B$1001,,0)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_xlfn.XLOOKUP(orders!C865,customers!$A$2:$A$1001,customers!$B$2:$B$1001,,0)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_xlfn.XLOOKUP(orders!C866,customers!$A$2:$A$1001,customers!$B$2:$B$1001,,0)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_xlfn.XLOOKUP(orders!C867,customers!$A$2:$A$1001,customers!$B$2:$B$1001,,0)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_xlfn.XLOOKUP(orders!C868,customers!$A$2:$A$1001,customers!$B$2:$B$1001,,0)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_xlfn.XLOOKUP(orders!C869,customers!$A$2:$A$1001,customers!$B$2:$B$1001,,0)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_xlfn.XLOOKUP(orders!C870,customers!$A$2:$A$1001,customers!$B$2:$B$1001,,0)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_xlfn.XLOOKUP(orders!C871,customers!$A$2:$A$1001,customers!$B$2:$B$1001,,0)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_xlfn.XLOOKUP(orders!C872,customers!$A$2:$A$1001,customers!$B$2:$B$1001,,0)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_xlfn.XLOOKUP(orders!C873,customers!$A$2:$A$1001,customers!$B$2:$B$1001,,0)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_xlfn.XLOOKUP(orders!C874,customers!$A$2:$A$1001,customers!$B$2:$B$1001,,0)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_xlfn.XLOOKUP(orders!C875,customers!$A$2:$A$1001,customers!$B$2:$B$1001,,0)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_xlfn.XLOOKUP(orders!C876,customers!$A$2:$A$1001,customers!$B$2:$B$1001,,0)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_xlfn.XLOOKUP(orders!C877,customers!$A$2:$A$1001,customers!$B$2:$B$1001,,0)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_xlfn.XLOOKUP(orders!C878,customers!$A$2:$A$1001,customers!$B$2:$B$1001,,0)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_xlfn.XLOOKUP(orders!C879,customers!$A$2:$A$1001,customers!$B$2:$B$1001,,0)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_xlfn.XLOOKUP(orders!C880,customers!$A$2:$A$1001,customers!$B$2:$B$1001,,0)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_xlfn.XLOOKUP(orders!C881,customers!$A$2:$A$1001,customers!$B$2:$B$1001,,0)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_xlfn.XLOOKUP(orders!C882,customers!$A$2:$A$1001,customers!$B$2:$B$1001,,0)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_xlfn.XLOOKUP(orders!C883,customers!$A$2:$A$1001,customers!$B$2:$B$1001,,0)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_xlfn.XLOOKUP(orders!C884,customers!$A$2:$A$1001,customers!$B$2:$B$1001,,0)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_xlfn.XLOOKUP(orders!C885,customers!$A$2:$A$1001,customers!$B$2:$B$1001,,0)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_xlfn.XLOOKUP(orders!C886,customers!$A$2:$A$1001,customers!$B$2:$B$1001,,0)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_xlfn.XLOOKUP(orders!C887,customers!$A$2:$A$1001,customers!$B$2:$B$1001,,0)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_xlfn.XLOOKUP(orders!C888,customers!$A$2:$A$1001,customers!$B$2:$B$1001,,0)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_xlfn.XLOOKUP(orders!C889,customers!$A$2:$A$1001,customers!$B$2:$B$1001,,0)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_xlfn.XLOOKUP(orders!C890,customers!$A$2:$A$1001,customers!$B$2:$B$1001,,0)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_xlfn.XLOOKUP(orders!C891,customers!$A$2:$A$1001,customers!$B$2:$B$1001,,0)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_xlfn.XLOOKUP(orders!C892,customers!$A$2:$A$1001,customers!$B$2:$B$1001,,0)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_xlfn.XLOOKUP(orders!C893,customers!$A$2:$A$1001,customers!$B$2:$B$1001,,0)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_xlfn.XLOOKUP(orders!C894,customers!$A$2:$A$1001,customers!$B$2:$B$1001,,0)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_xlfn.XLOOKUP(orders!C895,customers!$A$2:$A$1001,customers!$B$2:$B$1001,,0)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_xlfn.XLOOKUP(orders!C896,customers!$A$2:$A$1001,customers!$B$2:$B$1001,,0)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_xlfn.XLOOKUP(orders!C897,customers!$A$2:$A$1001,customers!$B$2:$B$1001,,0)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_xlfn.XLOOKUP(orders!C898,customers!$A$2:$A$1001,customers!$B$2:$B$1001,,0)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_xlfn.XLOOKUP(orders!C899,customers!$A$2:$A$1001,customers!$B$2:$B$1001,,0)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_xlfn.XLOOKUP(orders!C900,customers!$A$2:$A$1001,customers!$B$2:$B$1001,,0)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_xlfn.XLOOKUP(orders!C901,customers!$A$2:$A$1001,customers!$B$2:$B$1001,,0)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_xlfn.XLOOKUP(orders!C902,customers!$A$2:$A$1001,customers!$B$2:$B$1001,,0)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_xlfn.XLOOKUP(orders!C903,customers!$A$2:$A$1001,customers!$B$2:$B$1001,,0)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_xlfn.XLOOKUP(orders!C904,customers!$A$2:$A$1001,customers!$B$2:$B$1001,,0)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_xlfn.XLOOKUP(orders!C905,customers!$A$2:$A$1001,customers!$B$2:$B$1001,,0)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_xlfn.XLOOKUP(orders!C906,customers!$A$2:$A$1001,customers!$B$2:$B$1001,,0)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_xlfn.XLOOKUP(orders!C907,customers!$A$2:$A$1001,customers!$B$2:$B$1001,,0)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_xlfn.XLOOKUP(orders!C908,customers!$A$2:$A$1001,customers!$B$2:$B$1001,,0)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_xlfn.XLOOKUP(orders!C909,customers!$A$2:$A$1001,customers!$B$2:$B$1001,,0)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_xlfn.XLOOKUP(orders!C910,customers!$A$2:$A$1001,customers!$B$2:$B$1001,,0)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_xlfn.XLOOKUP(orders!C911,customers!$A$2:$A$1001,customers!$B$2:$B$1001,,0)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_xlfn.XLOOKUP(orders!C912,customers!$A$2:$A$1001,customers!$B$2:$B$1001,,0)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_xlfn.XLOOKUP(orders!C913,customers!$A$2:$A$1001,customers!$B$2:$B$1001,,0)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_xlfn.XLOOKUP(orders!C914,customers!$A$2:$A$1001,customers!$B$2:$B$1001,,0)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_xlfn.XLOOKUP(orders!C915,customers!$A$2:$A$1001,customers!$B$2:$B$1001,,0)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_xlfn.XLOOKUP(orders!C916,customers!$A$2:$A$1001,customers!$B$2:$B$1001,,0)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_xlfn.XLOOKUP(orders!C917,customers!$A$2:$A$1001,customers!$B$2:$B$1001,,0)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_xlfn.XLOOKUP(orders!C918,customers!$A$2:$A$1001,customers!$B$2:$B$1001,,0)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_xlfn.XLOOKUP(orders!C919,customers!$A$2:$A$1001,customers!$B$2:$B$1001,,0)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_xlfn.XLOOKUP(orders!C920,customers!$A$2:$A$1001,customers!$B$2:$B$1001,,0)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_xlfn.XLOOKUP(orders!C921,customers!$A$2:$A$1001,customers!$B$2:$B$1001,,0)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_xlfn.XLOOKUP(orders!C922,customers!$A$2:$A$1001,customers!$B$2:$B$1001,,0)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_xlfn.XLOOKUP(orders!C923,customers!$A$2:$A$1001,customers!$B$2:$B$1001,,0)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_xlfn.XLOOKUP(orders!C924,customers!$A$2:$A$1001,customers!$B$2:$B$1001,,0)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_xlfn.XLOOKUP(orders!C925,customers!$A$2:$A$1001,customers!$B$2:$B$1001,,0)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_xlfn.XLOOKUP(orders!C926,customers!$A$2:$A$1001,customers!$B$2:$B$1001,,0)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_xlfn.XLOOKUP(orders!C927,customers!$A$2:$A$1001,customers!$B$2:$B$1001,,0)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_xlfn.XLOOKUP(orders!C928,customers!$A$2:$A$1001,customers!$B$2:$B$1001,,0)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_xlfn.XLOOKUP(orders!C929,customers!$A$2:$A$1001,customers!$B$2:$B$1001,,0)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_xlfn.XLOOKUP(orders!C930,customers!$A$2:$A$1001,customers!$B$2:$B$1001,,0)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_xlfn.XLOOKUP(orders!C931,customers!$A$2:$A$1001,customers!$B$2:$B$1001,,0)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_xlfn.XLOOKUP(orders!C932,customers!$A$2:$A$1001,customers!$B$2:$B$1001,,0)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_xlfn.XLOOKUP(orders!C933,customers!$A$2:$A$1001,customers!$B$2:$B$1001,,0)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_xlfn.XLOOKUP(orders!C934,customers!$A$2:$A$1001,customers!$B$2:$B$1001,,0)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_xlfn.XLOOKUP(orders!C935,customers!$A$2:$A$1001,customers!$B$2:$B$1001,,0)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_xlfn.XLOOKUP(orders!C936,customers!$A$2:$A$1001,customers!$B$2:$B$1001,,0)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_xlfn.XLOOKUP(orders!C937,customers!$A$2:$A$1001,customers!$B$2:$B$1001,,0)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_xlfn.XLOOKUP(orders!C938,customers!$A$2:$A$1001,customers!$B$2:$B$1001,,0)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_xlfn.XLOOKUP(orders!C939,customers!$A$2:$A$1001,customers!$B$2:$B$1001,,0)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_xlfn.XLOOKUP(orders!C940,customers!$A$2:$A$1001,customers!$B$2:$B$1001,,0)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_xlfn.XLOOKUP(orders!C941,customers!$A$2:$A$1001,customers!$B$2:$B$1001,,0)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_xlfn.XLOOKUP(orders!C942,customers!$A$2:$A$1001,customers!$B$2:$B$1001,,0)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_xlfn.XLOOKUP(orders!C943,customers!$A$2:$A$1001,customers!$B$2:$B$1001,,0)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_xlfn.XLOOKUP(orders!C944,customers!$A$2:$A$1001,customers!$B$2:$B$1001,,0)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_xlfn.XLOOKUP(orders!C945,customers!$A$2:$A$1001,customers!$B$2:$B$1001,,0)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_xlfn.XLOOKUP(orders!C946,customers!$A$2:$A$1001,customers!$B$2:$B$1001,,0)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_xlfn.XLOOKUP(orders!C947,customers!$A$2:$A$1001,customers!$B$2:$B$1001,,0)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_xlfn.XLOOKUP(orders!C948,customers!$A$2:$A$1001,customers!$B$2:$B$1001,,0)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_xlfn.XLOOKUP(orders!C949,customers!$A$2:$A$1001,customers!$B$2:$B$1001,,0)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_xlfn.XLOOKUP(orders!C950,customers!$A$2:$A$1001,customers!$B$2:$B$1001,,0)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_xlfn.XLOOKUP(orders!C951,customers!$A$2:$A$1001,customers!$B$2:$B$1001,,0)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_xlfn.XLOOKUP(orders!C952,customers!$A$2:$A$1001,customers!$B$2:$B$1001,,0)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_xlfn.XLOOKUP(orders!C953,customers!$A$2:$A$1001,customers!$B$2:$B$1001,,0)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_xlfn.XLOOKUP(orders!C954,customers!$A$2:$A$1001,customers!$B$2:$B$1001,,0)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_xlfn.XLOOKUP(orders!C955,customers!$A$2:$A$1001,customers!$B$2:$B$1001,,0)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_xlfn.XLOOKUP(orders!C956,customers!$A$2:$A$1001,customers!$B$2:$B$1001,,0)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_xlfn.XLOOKUP(orders!C957,customers!$A$2:$A$1001,customers!$B$2:$B$1001,,0)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_xlfn.XLOOKUP(orders!C958,customers!$A$2:$A$1001,customers!$B$2:$B$1001,,0)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_xlfn.XLOOKUP(orders!C959,customers!$A$2:$A$1001,customers!$B$2:$B$1001,,0)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_xlfn.XLOOKUP(orders!C960,customers!$A$2:$A$1001,customers!$B$2:$B$1001,,0)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_xlfn.XLOOKUP(orders!C961,customers!$A$2:$A$1001,customers!$B$2:$B$1001,,0)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_xlfn.XLOOKUP(orders!C962,customers!$A$2:$A$1001,customers!$B$2:$B$1001,,0)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_xlfn.XLOOKUP(orders!C963,customers!$A$2:$A$1001,customers!$B$2:$B$1001,,0)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_xlfn.XLOOKUP(orders!C964,customers!$A$2:$A$1001,customers!$B$2:$B$1001,,0)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_xlfn.XLOOKUP(orders!C965,customers!$A$2:$A$1001,customers!$B$2:$B$1001,,0)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_xlfn.XLOOKUP(orders!C966,customers!$A$2:$A$1001,customers!$B$2:$B$1001,,0)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_xlfn.XLOOKUP(orders!C967,customers!$A$2:$A$1001,customers!$B$2:$B$1001,,0)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_xlfn.XLOOKUP(orders!C968,customers!$A$2:$A$1001,customers!$B$2:$B$1001,,0)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_xlfn.XLOOKUP(orders!C969,customers!$A$2:$A$1001,customers!$B$2:$B$1001,,0)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_xlfn.XLOOKUP(orders!C970,customers!$A$2:$A$1001,customers!$B$2:$B$1001,,0)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_xlfn.XLOOKUP(orders!C971,customers!$A$2:$A$1001,customers!$B$2:$B$1001,,0)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_xlfn.XLOOKUP(orders!C972,customers!$A$2:$A$1001,customers!$B$2:$B$1001,,0)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_xlfn.XLOOKUP(orders!C973,customers!$A$2:$A$1001,customers!$B$2:$B$1001,,0)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_xlfn.XLOOKUP(orders!C974,customers!$A$2:$A$1001,customers!$B$2:$B$1001,,0)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_xlfn.XLOOKUP(orders!C975,customers!$A$2:$A$1001,customers!$B$2:$B$1001,,0)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_xlfn.XLOOKUP(orders!C976,customers!$A$2:$A$1001,customers!$B$2:$B$1001,,0)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_xlfn.XLOOKUP(orders!C977,customers!$A$2:$A$1001,customers!$B$2:$B$1001,,0)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_xlfn.XLOOKUP(orders!C978,customers!$A$2:$A$1001,customers!$B$2:$B$1001,,0)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_xlfn.XLOOKUP(orders!C979,customers!$A$2:$A$1001,customers!$B$2:$B$1001,,0)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_xlfn.XLOOKUP(orders!C980,customers!$A$2:$A$1001,customers!$B$2:$B$1001,,0)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_xlfn.XLOOKUP(orders!C981,customers!$A$2:$A$1001,customers!$B$2:$B$1001,,0)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_xlfn.XLOOKUP(orders!C982,customers!$A$2:$A$1001,customers!$B$2:$B$1001,,0)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_xlfn.XLOOKUP(orders!C983,customers!$A$2:$A$1001,customers!$B$2:$B$1001,,0)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_xlfn.XLOOKUP(orders!C984,customers!$A$2:$A$1001,customers!$B$2:$B$1001,,0)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_xlfn.XLOOKUP(orders!C985,customers!$A$2:$A$1001,customers!$B$2:$B$1001,,0)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_xlfn.XLOOKUP(orders!C986,customers!$A$2:$A$1001,customers!$B$2:$B$1001,,0)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_xlfn.XLOOKUP(orders!C987,customers!$A$2:$A$1001,customers!$B$2:$B$1001,,0)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_xlfn.XLOOKUP(orders!C988,customers!$A$2:$A$1001,customers!$B$2:$B$1001,,0)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_xlfn.XLOOKUP(orders!C989,customers!$A$2:$A$1001,customers!$B$2:$B$1001,,0)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_xlfn.XLOOKUP(orders!C990,customers!$A$2:$A$1001,customers!$B$2:$B$1001,,0)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_xlfn.XLOOKUP(orders!C991,customers!$A$2:$A$1001,customers!$B$2:$B$1001,,0)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_xlfn.XLOOKUP(orders!C992,customers!$A$2:$A$1001,customers!$B$2:$B$1001,,0)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_xlfn.XLOOKUP(orders!C993,customers!$A$2:$A$1001,customers!$B$2:$B$1001,,0)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_xlfn.XLOOKUP(orders!C994,customers!$A$2:$A$1001,customers!$B$2:$B$1001,,0)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_xlfn.XLOOKUP(orders!C995,customers!$A$2:$A$1001,customers!$B$2:$B$1001,,0)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_xlfn.XLOOKUP(orders!C996,customers!$A$2:$A$1001,customers!$B$2:$B$1001,,0)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_xlfn.XLOOKUP(orders!C997,customers!$A$2:$A$1001,customers!$B$2:$B$1001,,0)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_xlfn.XLOOKUP(orders!C998,customers!$A$2:$A$1001,customers!$B$2:$B$1001,,0)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_xlfn.XLOOKUP(orders!C999,customers!$A$2:$A$1001,customers!$B$2:$B$1001,,0)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_xlfn.XLOOKUP(orders!C1000,customers!$A$2:$A$1001,customers!$B$2:$B$1001,,0)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_xlfn.XLOOKUP(orders!C1001,customers!$A$2:$A$1001,customers!$B$2:$B$1001,,0)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election activeCell="B3" sqref="B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B39E-02F4-405B-BD28-1D2291D3330D}">
  <dimension ref="A3:G49"/>
  <sheetViews>
    <sheetView workbookViewId="0">
      <selection activeCell="L16" sqref="L16"/>
    </sheetView>
  </sheetViews>
  <sheetFormatPr defaultRowHeight="14.4" x14ac:dyDescent="0.3"/>
  <cols>
    <col min="1" max="1" width="12.5546875" bestFit="1" customWidth="1"/>
    <col min="2" max="2" width="20.88671875" bestFit="1" customWidth="1"/>
    <col min="3" max="6" width="18.5546875" bestFit="1" customWidth="1"/>
    <col min="7" max="7" width="10.77734375" bestFit="1" customWidth="1"/>
  </cols>
  <sheetData>
    <row r="3" spans="1:7" x14ac:dyDescent="0.3">
      <c r="A3" s="6" t="s">
        <v>6221</v>
      </c>
      <c r="C3" s="6" t="s">
        <v>6196</v>
      </c>
    </row>
    <row r="4" spans="1:7" x14ac:dyDescent="0.3">
      <c r="A4" s="6" t="s">
        <v>6215</v>
      </c>
      <c r="B4" s="6" t="s">
        <v>6216</v>
      </c>
      <c r="C4" t="s">
        <v>6217</v>
      </c>
      <c r="D4" t="s">
        <v>6218</v>
      </c>
      <c r="E4" t="s">
        <v>6219</v>
      </c>
      <c r="F4" t="s">
        <v>6220</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6212</v>
      </c>
      <c r="C14" s="7">
        <v>301.98500000000001</v>
      </c>
      <c r="D14" s="7">
        <v>153.76499999999999</v>
      </c>
      <c r="E14" s="7">
        <v>215.55499999999998</v>
      </c>
      <c r="F14" s="7">
        <v>213.66499999999999</v>
      </c>
      <c r="G14" s="7">
        <v>884.96999999999991</v>
      </c>
    </row>
    <row r="15" spans="1:7" x14ac:dyDescent="0.3">
      <c r="B15" t="s">
        <v>6213</v>
      </c>
      <c r="C15" s="7">
        <v>312.83499999999998</v>
      </c>
      <c r="D15" s="7">
        <v>63.249999999999993</v>
      </c>
      <c r="E15" s="7">
        <v>350.89500000000004</v>
      </c>
      <c r="F15" s="7">
        <v>96.405000000000001</v>
      </c>
      <c r="G15" s="7">
        <v>823.38499999999999</v>
      </c>
    </row>
    <row r="16" spans="1:7" x14ac:dyDescent="0.3">
      <c r="B16" t="s">
        <v>6214</v>
      </c>
      <c r="C16" s="7">
        <v>265.62</v>
      </c>
      <c r="D16" s="7">
        <v>526.51499999999987</v>
      </c>
      <c r="E16" s="7">
        <v>187.06</v>
      </c>
      <c r="F16" s="7">
        <v>210.58999999999997</v>
      </c>
      <c r="G16" s="7">
        <v>1189.7849999999999</v>
      </c>
    </row>
    <row r="17" spans="1:7" x14ac:dyDescent="0.3">
      <c r="A17" t="s">
        <v>6200</v>
      </c>
      <c r="B17" t="s">
        <v>6203</v>
      </c>
      <c r="C17" s="7">
        <v>47.25</v>
      </c>
      <c r="D17" s="7">
        <v>65.805000000000007</v>
      </c>
      <c r="E17" s="7">
        <v>274.67500000000001</v>
      </c>
      <c r="F17" s="7">
        <v>179.22</v>
      </c>
      <c r="G17" s="7">
        <v>566.95000000000005</v>
      </c>
    </row>
    <row r="18" spans="1:7" x14ac:dyDescent="0.3">
      <c r="B18" t="s">
        <v>6204</v>
      </c>
      <c r="C18" s="7">
        <v>745.44999999999993</v>
      </c>
      <c r="D18" s="7">
        <v>428.88499999999999</v>
      </c>
      <c r="E18" s="7">
        <v>194.17499999999998</v>
      </c>
      <c r="F18" s="7">
        <v>429.82999999999993</v>
      </c>
      <c r="G18" s="7">
        <v>1798.34</v>
      </c>
    </row>
    <row r="19" spans="1:7" x14ac:dyDescent="0.3">
      <c r="B19" t="s">
        <v>6205</v>
      </c>
      <c r="C19" s="7">
        <v>130.47</v>
      </c>
      <c r="D19" s="7">
        <v>271.48500000000001</v>
      </c>
      <c r="E19" s="7">
        <v>281.20499999999998</v>
      </c>
      <c r="F19" s="7">
        <v>231.63000000000002</v>
      </c>
      <c r="G19" s="7">
        <v>914.79000000000008</v>
      </c>
    </row>
    <row r="20" spans="1:7" x14ac:dyDescent="0.3">
      <c r="B20" t="s">
        <v>6206</v>
      </c>
      <c r="C20" s="7">
        <v>27</v>
      </c>
      <c r="D20" s="7">
        <v>347.26</v>
      </c>
      <c r="E20" s="7">
        <v>147.51</v>
      </c>
      <c r="F20" s="7">
        <v>240.04</v>
      </c>
      <c r="G20" s="7">
        <v>761.81</v>
      </c>
    </row>
    <row r="21" spans="1:7" x14ac:dyDescent="0.3">
      <c r="B21" t="s">
        <v>6207</v>
      </c>
      <c r="C21" s="7">
        <v>255.11499999999995</v>
      </c>
      <c r="D21" s="7">
        <v>541.73</v>
      </c>
      <c r="E21" s="7">
        <v>83.43</v>
      </c>
      <c r="F21" s="7">
        <v>59.079999999999991</v>
      </c>
      <c r="G21" s="7">
        <v>939.35500000000013</v>
      </c>
    </row>
    <row r="22" spans="1:7" x14ac:dyDescent="0.3">
      <c r="B22" t="s">
        <v>6208</v>
      </c>
      <c r="C22" s="7">
        <v>584.78999999999985</v>
      </c>
      <c r="D22" s="7">
        <v>357.42999999999995</v>
      </c>
      <c r="E22" s="7">
        <v>355.34</v>
      </c>
      <c r="F22" s="7">
        <v>140.88</v>
      </c>
      <c r="G22" s="7">
        <v>1438.4399999999996</v>
      </c>
    </row>
    <row r="23" spans="1:7" x14ac:dyDescent="0.3">
      <c r="B23" t="s">
        <v>6209</v>
      </c>
      <c r="C23" s="7">
        <v>430.62</v>
      </c>
      <c r="D23" s="7">
        <v>227.42500000000001</v>
      </c>
      <c r="E23" s="7">
        <v>236.315</v>
      </c>
      <c r="F23" s="7">
        <v>414.58499999999992</v>
      </c>
      <c r="G23" s="7">
        <v>1308.9450000000002</v>
      </c>
    </row>
    <row r="24" spans="1:7" x14ac:dyDescent="0.3">
      <c r="B24" t="s">
        <v>6210</v>
      </c>
      <c r="C24" s="7">
        <v>22.5</v>
      </c>
      <c r="D24" s="7">
        <v>77.72</v>
      </c>
      <c r="E24" s="7">
        <v>60.5</v>
      </c>
      <c r="F24" s="7">
        <v>139.67999999999998</v>
      </c>
      <c r="G24" s="7">
        <v>300.39999999999998</v>
      </c>
    </row>
    <row r="25" spans="1:7" x14ac:dyDescent="0.3">
      <c r="B25" t="s">
        <v>6211</v>
      </c>
      <c r="C25" s="7">
        <v>126.14999999999999</v>
      </c>
      <c r="D25" s="7">
        <v>195.11</v>
      </c>
      <c r="E25" s="7">
        <v>89.13</v>
      </c>
      <c r="F25" s="7">
        <v>302.65999999999997</v>
      </c>
      <c r="G25" s="7">
        <v>713.05</v>
      </c>
    </row>
    <row r="26" spans="1:7" x14ac:dyDescent="0.3">
      <c r="B26" t="s">
        <v>6212</v>
      </c>
      <c r="C26" s="7">
        <v>376.03</v>
      </c>
      <c r="D26" s="7">
        <v>523.24</v>
      </c>
      <c r="E26" s="7">
        <v>440.96499999999997</v>
      </c>
      <c r="F26" s="7">
        <v>174.46999999999997</v>
      </c>
      <c r="G26" s="7">
        <v>1514.7049999999999</v>
      </c>
    </row>
    <row r="27" spans="1:7" x14ac:dyDescent="0.3">
      <c r="B27" t="s">
        <v>6213</v>
      </c>
      <c r="C27" s="7">
        <v>515.17999999999995</v>
      </c>
      <c r="D27" s="7">
        <v>142.56</v>
      </c>
      <c r="E27" s="7">
        <v>347.03999999999996</v>
      </c>
      <c r="F27" s="7">
        <v>104.08499999999999</v>
      </c>
      <c r="G27" s="7">
        <v>1108.865</v>
      </c>
    </row>
    <row r="28" spans="1:7" x14ac:dyDescent="0.3">
      <c r="B28" t="s">
        <v>6214</v>
      </c>
      <c r="C28" s="7">
        <v>95.859999999999985</v>
      </c>
      <c r="D28" s="7">
        <v>484.76</v>
      </c>
      <c r="E28" s="7">
        <v>94.17</v>
      </c>
      <c r="F28" s="7">
        <v>77.10499999999999</v>
      </c>
      <c r="G28" s="7">
        <v>751.89499999999998</v>
      </c>
    </row>
    <row r="29" spans="1:7" x14ac:dyDescent="0.3">
      <c r="A29" t="s">
        <v>6201</v>
      </c>
      <c r="B29" t="s">
        <v>6203</v>
      </c>
      <c r="C29" s="7">
        <v>258.34500000000003</v>
      </c>
      <c r="D29" s="7">
        <v>139.625</v>
      </c>
      <c r="E29" s="7">
        <v>279.52000000000004</v>
      </c>
      <c r="F29" s="7">
        <v>160.19499999999999</v>
      </c>
      <c r="G29" s="7">
        <v>837.68499999999995</v>
      </c>
    </row>
    <row r="30" spans="1:7" x14ac:dyDescent="0.3">
      <c r="B30" t="s">
        <v>6204</v>
      </c>
      <c r="C30" s="7">
        <v>342.2</v>
      </c>
      <c r="D30" s="7">
        <v>284.24999999999994</v>
      </c>
      <c r="E30" s="7">
        <v>251.83</v>
      </c>
      <c r="F30" s="7">
        <v>80.550000000000011</v>
      </c>
      <c r="G30" s="7">
        <v>958.82999999999993</v>
      </c>
    </row>
    <row r="31" spans="1:7" x14ac:dyDescent="0.3">
      <c r="B31" t="s">
        <v>6205</v>
      </c>
      <c r="C31" s="7">
        <v>418.30499999999989</v>
      </c>
      <c r="D31" s="7">
        <v>468.125</v>
      </c>
      <c r="E31" s="7">
        <v>405.05500000000006</v>
      </c>
      <c r="F31" s="7">
        <v>253.15499999999997</v>
      </c>
      <c r="G31" s="7">
        <v>1544.6399999999999</v>
      </c>
    </row>
    <row r="32" spans="1:7" x14ac:dyDescent="0.3">
      <c r="B32" t="s">
        <v>6206</v>
      </c>
      <c r="C32" s="7">
        <v>102.32999999999998</v>
      </c>
      <c r="D32" s="7">
        <v>242.14000000000001</v>
      </c>
      <c r="E32" s="7">
        <v>554.875</v>
      </c>
      <c r="F32" s="7">
        <v>106.23999999999998</v>
      </c>
      <c r="G32" s="7">
        <v>1005.585</v>
      </c>
    </row>
    <row r="33" spans="1:7" x14ac:dyDescent="0.3">
      <c r="B33" t="s">
        <v>6207</v>
      </c>
      <c r="C33" s="7">
        <v>234.71999999999997</v>
      </c>
      <c r="D33" s="7">
        <v>133.08000000000001</v>
      </c>
      <c r="E33" s="7">
        <v>267.2</v>
      </c>
      <c r="F33" s="7">
        <v>272.68999999999994</v>
      </c>
      <c r="G33" s="7">
        <v>907.68999999999994</v>
      </c>
    </row>
    <row r="34" spans="1:7" x14ac:dyDescent="0.3">
      <c r="B34" t="s">
        <v>6208</v>
      </c>
      <c r="C34" s="7">
        <v>430.39</v>
      </c>
      <c r="D34" s="7">
        <v>136.20500000000001</v>
      </c>
      <c r="E34" s="7">
        <v>209.6</v>
      </c>
      <c r="F34" s="7">
        <v>88.334999999999994</v>
      </c>
      <c r="G34" s="7">
        <v>864.53000000000009</v>
      </c>
    </row>
    <row r="35" spans="1:7" x14ac:dyDescent="0.3">
      <c r="B35" t="s">
        <v>6209</v>
      </c>
      <c r="C35" s="7">
        <v>109.005</v>
      </c>
      <c r="D35" s="7">
        <v>393.57499999999999</v>
      </c>
      <c r="E35" s="7">
        <v>61.034999999999997</v>
      </c>
      <c r="F35" s="7">
        <v>199.48999999999998</v>
      </c>
      <c r="G35" s="7">
        <v>763.10500000000002</v>
      </c>
    </row>
    <row r="36" spans="1:7" x14ac:dyDescent="0.3">
      <c r="B36" t="s">
        <v>6210</v>
      </c>
      <c r="C36" s="7">
        <v>287.52499999999998</v>
      </c>
      <c r="D36" s="7">
        <v>288.67</v>
      </c>
      <c r="E36" s="7">
        <v>125.58</v>
      </c>
      <c r="F36" s="7">
        <v>374.13499999999999</v>
      </c>
      <c r="G36" s="7">
        <v>1075.9099999999999</v>
      </c>
    </row>
    <row r="37" spans="1:7" x14ac:dyDescent="0.3">
      <c r="B37" t="s">
        <v>6211</v>
      </c>
      <c r="C37" s="7">
        <v>840.92999999999984</v>
      </c>
      <c r="D37" s="7">
        <v>409.875</v>
      </c>
      <c r="E37" s="7">
        <v>171.32999999999998</v>
      </c>
      <c r="F37" s="7">
        <v>221.43999999999997</v>
      </c>
      <c r="G37" s="7">
        <v>1643.5749999999998</v>
      </c>
    </row>
    <row r="38" spans="1:7" x14ac:dyDescent="0.3">
      <c r="B38" t="s">
        <v>6212</v>
      </c>
      <c r="C38" s="7">
        <v>299.07</v>
      </c>
      <c r="D38" s="7">
        <v>260.32499999999999</v>
      </c>
      <c r="E38" s="7">
        <v>584.64</v>
      </c>
      <c r="F38" s="7">
        <v>256.36500000000001</v>
      </c>
      <c r="G38" s="7">
        <v>1400.3999999999999</v>
      </c>
    </row>
    <row r="39" spans="1:7" x14ac:dyDescent="0.3">
      <c r="B39" t="s">
        <v>6213</v>
      </c>
      <c r="C39" s="7">
        <v>323.32499999999999</v>
      </c>
      <c r="D39" s="7">
        <v>565.57000000000005</v>
      </c>
      <c r="E39" s="7">
        <v>537.80999999999995</v>
      </c>
      <c r="F39" s="7">
        <v>189.47499999999999</v>
      </c>
      <c r="G39" s="7">
        <v>1616.1799999999998</v>
      </c>
    </row>
    <row r="40" spans="1:7" x14ac:dyDescent="0.3">
      <c r="B40" t="s">
        <v>6214</v>
      </c>
      <c r="C40" s="7">
        <v>399.48499999999996</v>
      </c>
      <c r="D40" s="7">
        <v>148.19999999999999</v>
      </c>
      <c r="E40" s="7">
        <v>388.21999999999997</v>
      </c>
      <c r="F40" s="7">
        <v>212.07499999999999</v>
      </c>
      <c r="G40" s="7">
        <v>1147.98</v>
      </c>
    </row>
    <row r="41" spans="1:7" x14ac:dyDescent="0.3">
      <c r="A41" t="s">
        <v>6202</v>
      </c>
      <c r="B41" t="s">
        <v>6203</v>
      </c>
      <c r="C41" s="7">
        <v>112.69499999999999</v>
      </c>
      <c r="D41" s="7">
        <v>166.32</v>
      </c>
      <c r="E41" s="7">
        <v>843.71499999999992</v>
      </c>
      <c r="F41" s="7">
        <v>146.685</v>
      </c>
      <c r="G41" s="7">
        <v>1269.415</v>
      </c>
    </row>
    <row r="42" spans="1:7" x14ac:dyDescent="0.3">
      <c r="B42" t="s">
        <v>6204</v>
      </c>
      <c r="C42" s="7">
        <v>114.87999999999998</v>
      </c>
      <c r="D42" s="7">
        <v>133.815</v>
      </c>
      <c r="E42" s="7">
        <v>91.175000000000011</v>
      </c>
      <c r="F42" s="7">
        <v>53.759999999999991</v>
      </c>
      <c r="G42" s="7">
        <v>393.63</v>
      </c>
    </row>
    <row r="43" spans="1:7" x14ac:dyDescent="0.3">
      <c r="B43" t="s">
        <v>6205</v>
      </c>
      <c r="C43" s="7">
        <v>277.76</v>
      </c>
      <c r="D43" s="7">
        <v>175.41</v>
      </c>
      <c r="E43" s="7">
        <v>462.50999999999993</v>
      </c>
      <c r="F43" s="7">
        <v>399.52499999999998</v>
      </c>
      <c r="G43" s="7">
        <v>1315.2049999999999</v>
      </c>
    </row>
    <row r="44" spans="1:7" x14ac:dyDescent="0.3">
      <c r="B44" t="s">
        <v>6206</v>
      </c>
      <c r="C44" s="7">
        <v>197.89499999999998</v>
      </c>
      <c r="D44" s="7">
        <v>289.755</v>
      </c>
      <c r="E44" s="7">
        <v>88.545000000000002</v>
      </c>
      <c r="F44" s="7">
        <v>200.25499999999997</v>
      </c>
      <c r="G44" s="7">
        <v>776.44999999999993</v>
      </c>
    </row>
    <row r="45" spans="1:7" x14ac:dyDescent="0.3">
      <c r="B45" t="s">
        <v>6207</v>
      </c>
      <c r="C45" s="7">
        <v>193.11499999999998</v>
      </c>
      <c r="D45" s="7">
        <v>212.49499999999998</v>
      </c>
      <c r="E45" s="7">
        <v>292.29000000000002</v>
      </c>
      <c r="F45" s="7">
        <v>304.46999999999997</v>
      </c>
      <c r="G45" s="7">
        <v>1002.3699999999999</v>
      </c>
    </row>
    <row r="46" spans="1:7" x14ac:dyDescent="0.3">
      <c r="B46" t="s">
        <v>6208</v>
      </c>
      <c r="C46" s="7">
        <v>179.79</v>
      </c>
      <c r="D46" s="7">
        <v>426.2</v>
      </c>
      <c r="E46" s="7">
        <v>170.08999999999997</v>
      </c>
      <c r="F46" s="7">
        <v>379.31</v>
      </c>
      <c r="G46" s="7">
        <v>1155.3899999999999</v>
      </c>
    </row>
    <row r="47" spans="1:7" x14ac:dyDescent="0.3">
      <c r="B47" t="s">
        <v>6209</v>
      </c>
      <c r="C47" s="7">
        <v>247.28999999999996</v>
      </c>
      <c r="D47" s="7">
        <v>246.685</v>
      </c>
      <c r="E47" s="7">
        <v>271.05499999999995</v>
      </c>
      <c r="F47" s="7">
        <v>141.69999999999999</v>
      </c>
      <c r="G47" s="7">
        <v>906.73</v>
      </c>
    </row>
    <row r="48" spans="1:7" x14ac:dyDescent="0.3">
      <c r="B48" t="s">
        <v>6210</v>
      </c>
      <c r="C48" s="7">
        <v>116.39499999999998</v>
      </c>
      <c r="D48" s="7">
        <v>41.25</v>
      </c>
      <c r="E48" s="7">
        <v>15.54</v>
      </c>
      <c r="F48" s="7">
        <v>71.06</v>
      </c>
      <c r="G48" s="7">
        <v>244.24499999999998</v>
      </c>
    </row>
    <row r="49" spans="1:7" x14ac:dyDescent="0.3">
      <c r="A49" t="s">
        <v>6198</v>
      </c>
      <c r="C49" s="7">
        <v>11768.495000000003</v>
      </c>
      <c r="D49" s="7">
        <v>12306.440000000002</v>
      </c>
      <c r="E49" s="7">
        <v>12054.075000000003</v>
      </c>
      <c r="F49" s="7">
        <v>9005.244999999999</v>
      </c>
      <c r="G49" s="7">
        <v>45134.255000000005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8A8E-89C8-4813-AF05-782023521E29}">
  <dimension ref="A3:B7"/>
  <sheetViews>
    <sheetView workbookViewId="0">
      <selection activeCell="M16" sqref="M16"/>
    </sheetView>
  </sheetViews>
  <sheetFormatPr defaultRowHeight="14.4" x14ac:dyDescent="0.3"/>
  <cols>
    <col min="1" max="1" width="14" bestFit="1" customWidth="1"/>
    <col min="2" max="3" width="11.6640625" bestFit="1" customWidth="1"/>
    <col min="4" max="6" width="18.5546875" bestFit="1" customWidth="1"/>
    <col min="7" max="7" width="10.77734375" bestFit="1" customWidth="1"/>
  </cols>
  <sheetData>
    <row r="3" spans="1:2" x14ac:dyDescent="0.3">
      <c r="A3" s="6" t="s">
        <v>7</v>
      </c>
      <c r="B3" t="s">
        <v>6221</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28ED-D2D9-47FF-B0EF-014B5CFE294E}">
  <dimension ref="A3:B9"/>
  <sheetViews>
    <sheetView workbookViewId="0">
      <selection activeCell="K16" sqref="K16"/>
    </sheetView>
  </sheetViews>
  <sheetFormatPr defaultRowHeight="14.4" x14ac:dyDescent="0.3"/>
  <cols>
    <col min="1" max="1" width="16.88671875" bestFit="1" customWidth="1"/>
    <col min="2" max="3" width="11.6640625" bestFit="1" customWidth="1"/>
    <col min="4" max="6" width="18.5546875" bestFit="1" customWidth="1"/>
    <col min="7" max="7" width="10.77734375" bestFit="1" customWidth="1"/>
  </cols>
  <sheetData>
    <row r="3" spans="1:2" x14ac:dyDescent="0.3">
      <c r="A3" s="6" t="s">
        <v>4</v>
      </c>
      <c r="B3" t="s">
        <v>6221</v>
      </c>
    </row>
    <row r="4" spans="1:2" x14ac:dyDescent="0.3">
      <c r="A4" t="s">
        <v>3753</v>
      </c>
      <c r="B4" s="5">
        <v>278.01</v>
      </c>
    </row>
    <row r="5" spans="1:2" x14ac:dyDescent="0.3">
      <c r="A5" t="s">
        <v>1598</v>
      </c>
      <c r="B5" s="5">
        <v>281.67499999999995</v>
      </c>
    </row>
    <row r="6" spans="1:2" x14ac:dyDescent="0.3">
      <c r="A6" t="s">
        <v>2587</v>
      </c>
      <c r="B6" s="5">
        <v>289.11</v>
      </c>
    </row>
    <row r="7" spans="1:2" x14ac:dyDescent="0.3">
      <c r="A7" t="s">
        <v>5765</v>
      </c>
      <c r="B7" s="5">
        <v>307.04499999999996</v>
      </c>
    </row>
    <row r="8" spans="1:2" x14ac:dyDescent="0.3">
      <c r="A8" t="s">
        <v>5114</v>
      </c>
      <c r="B8" s="5">
        <v>317.06999999999994</v>
      </c>
    </row>
    <row r="9" spans="1:2" x14ac:dyDescent="0.3">
      <c r="A9" t="s">
        <v>6198</v>
      </c>
      <c r="B9" s="5">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F00B-52FE-47D5-A675-E8684227C703}">
  <dimension ref="A1"/>
  <sheetViews>
    <sheetView tabSelected="1" zoomScale="80" zoomScaleNormal="80" workbookViewId="0">
      <selection activeCell="Z10" sqref="Z10"/>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Ravindu Srimal</dc:creator>
  <cp:keywords/>
  <dc:description/>
  <cp:lastModifiedBy>Ravindu Srimal</cp:lastModifiedBy>
  <cp:revision/>
  <dcterms:created xsi:type="dcterms:W3CDTF">2022-11-26T09:51:45Z</dcterms:created>
  <dcterms:modified xsi:type="dcterms:W3CDTF">2025-12-28T17:23:27Z</dcterms:modified>
  <cp:category/>
  <cp:contentStatus/>
</cp:coreProperties>
</file>